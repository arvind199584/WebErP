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nd Pro 4050 Spares Catalog" sheetId="1" state="visible" r:id="rId1"/>
    <sheet xmlns:r="http://schemas.openxmlformats.org/officeDocument/2006/relationships" name="Maintenance &amp; Hydraulic Guid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i val="1"/>
      <color rgb="00333333"/>
      <sz val="10"/>
    </font>
    <font>
      <name val="Calibri"/>
      <b val="1"/>
      <color rgb="00FFFFFF"/>
      <sz val="11"/>
    </font>
    <font>
      <name val="Calibri"/>
      <b val="1"/>
      <color rgb="00900C3F"/>
      <sz val="11"/>
    </font>
    <font>
      <name val="Calibri"/>
      <sz val="10"/>
    </font>
    <font>
      <name val="Calibri"/>
      <b val="1"/>
      <sz val="10"/>
    </font>
    <font>
      <name val="Consolas"/>
      <b val="1"/>
      <color rgb="00900C3F"/>
      <sz val="9"/>
    </font>
  </fonts>
  <fills count="7">
    <fill>
      <patternFill/>
    </fill>
    <fill>
      <patternFill patternType="gray125"/>
    </fill>
    <fill>
      <patternFill patternType="solid">
        <fgColor rgb="00900C3F"/>
        <bgColor rgb="00900C3F"/>
      </patternFill>
    </fill>
    <fill>
      <patternFill patternType="solid">
        <fgColor rgb="00C8102E"/>
        <bgColor rgb="00C8102E"/>
      </patternFill>
    </fill>
    <fill>
      <patternFill patternType="solid">
        <fgColor rgb="00FADBD8"/>
        <bgColor rgb="00FADBD8"/>
      </patternFill>
    </fill>
    <fill>
      <patternFill patternType="solid">
        <fgColor rgb="00FDF6F7"/>
        <bgColor rgb="00FDF6F7"/>
      </patternFill>
    </fill>
    <fill>
      <patternFill patternType="solid">
        <fgColor rgb="00F9EBEA"/>
        <bgColor rgb="00F9EBEA"/>
      </patternFill>
    </fill>
  </fills>
  <borders count="5">
    <border>
      <left/>
      <right/>
      <top/>
      <bottom/>
      <diagonal/>
    </border>
    <border>
      <left style="thin">
        <color rgb="00D9D9D9"/>
      </left>
      <right style="thin">
        <color rgb="00D9D9D9"/>
      </right>
      <top style="thin">
        <color rgb="00D9D9D9"/>
      </top>
      <bottom style="medium">
        <color rgb="00C8102E"/>
      </bottom>
    </border>
    <border>
      <top style="thin">
        <color rgb="00D9D9D9"/>
      </top>
      <bottom style="thin">
        <color rgb="00D9D9D9"/>
      </bottom>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C8102E"/>
      </top>
      <bottom style="medium">
        <color rgb="00C8102E"/>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2" applyAlignment="1" pivotButton="0" quotePrefix="0" xfId="0">
      <alignment horizontal="left" vertical="center" indent="1"/>
    </xf>
    <xf numFmtId="0" fontId="0" fillId="0" borderId="2" pivotButton="0" quotePrefix="0" xfId="0"/>
    <xf numFmtId="0" fontId="5" fillId="5" borderId="3" applyAlignment="1" pivotButton="0" quotePrefix="0" xfId="0">
      <alignment horizontal="center" vertical="center"/>
    </xf>
    <xf numFmtId="0" fontId="5" fillId="5" borderId="3" applyAlignment="1" pivotButton="0" quotePrefix="0" xfId="0">
      <alignment horizontal="left" vertical="center"/>
    </xf>
    <xf numFmtId="0" fontId="6" fillId="5" borderId="3" applyAlignment="1" pivotButton="0" quotePrefix="0" xfId="0">
      <alignment horizontal="left" vertical="center"/>
    </xf>
    <xf numFmtId="0" fontId="7" fillId="5" borderId="3" applyAlignment="1" pivotButton="0" quotePrefix="0" xfId="0">
      <alignment horizontal="left" vertical="center"/>
    </xf>
    <xf numFmtId="0" fontId="5" fillId="0" borderId="3" applyAlignment="1" pivotButton="0" quotePrefix="0" xfId="0">
      <alignment horizontal="center" vertical="center"/>
    </xf>
    <xf numFmtId="0" fontId="5" fillId="0" borderId="3" applyAlignment="1" pivotButton="0" quotePrefix="0" xfId="0">
      <alignment horizontal="left" vertical="center"/>
    </xf>
    <xf numFmtId="0" fontId="6" fillId="0" borderId="3" applyAlignment="1" pivotButton="0" quotePrefix="0" xfId="0">
      <alignment horizontal="left" vertical="center"/>
    </xf>
    <xf numFmtId="0" fontId="7" fillId="0" borderId="3" applyAlignment="1" pivotButton="0" quotePrefix="0" xfId="0">
      <alignment horizontal="left" vertical="center"/>
    </xf>
    <xf numFmtId="0" fontId="4" fillId="6" borderId="4" applyAlignment="1" pivotButton="0" quotePrefix="0" xfId="0">
      <alignment horizontal="right" vertical="center"/>
    </xf>
    <xf numFmtId="0" fontId="0" fillId="0" borderId="4" pivotButton="0" quotePrefix="0" xfId="0"/>
    <xf numFmtId="0" fontId="4" fillId="6" borderId="4" applyAlignment="1" pivotButton="0" quotePrefix="0" xfId="0">
      <alignment horizontal="center" vertical="center"/>
    </xf>
    <xf numFmtId="0" fontId="0" fillId="6" borderId="4" pivotButton="0" quotePrefix="0" xfId="0"/>
    <xf numFmtId="0" fontId="1" fillId="3" borderId="0" applyAlignment="1" pivotButton="0" quotePrefix="0" xfId="0">
      <alignment horizontal="center" vertical="center"/>
    </xf>
    <xf numFmtId="0" fontId="4" fillId="0" borderId="0" pivotButton="0" quotePrefix="0" xfId="0"/>
    <xf numFmtId="0" fontId="3" fillId="2" borderId="3" applyAlignment="1" pivotButton="0" quotePrefix="0" xfId="0">
      <alignment horizontal="center" vertical="center"/>
    </xf>
    <xf numFmtId="0" fontId="6" fillId="0" borderId="3" pivotButton="0" quotePrefix="0" xfId="0"/>
    <xf numFmtId="0" fontId="5" fillId="0" borderId="3" pivotButton="0" quotePrefix="0" xfId="0"/>
    <xf numFmtId="0" fontId="6" fillId="5" borderId="3" pivotButton="0" quotePrefix="0" xfId="0"/>
    <xf numFmtId="0" fontId="5" fillId="5" borderId="3" pivotButton="0" quotePrefix="0" xfId="0"/>
    <xf numFmtId="0" fontId="6"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showGridLines="1" workbookViewId="0">
      <pane ySplit="4" topLeftCell="A5" activePane="bottomLeft" state="frozen"/>
      <selection pane="bottomLeft" activeCell="A1" sqref="A1"/>
    </sheetView>
  </sheetViews>
  <sheetFormatPr baseColWidth="8" defaultRowHeight="15"/>
  <cols>
    <col width="10" customWidth="1" min="1" max="1"/>
    <col width="32" customWidth="1" min="2" max="2"/>
    <col width="40" customWidth="1" min="3" max="3"/>
    <col width="28" customWidth="1" min="4" max="4"/>
    <col width="48" customWidth="1" min="5" max="5"/>
    <col width="12" customWidth="1" min="6" max="6"/>
    <col width="24" customWidth="1" min="7" max="7"/>
  </cols>
  <sheetData>
    <row r="1" ht="40" customHeight="1">
      <c r="A1" s="1" t="inlineStr">
        <is>
          <t>TORO SAND PRO 4050 (BUNKER &amp; INFIELD RAKE) - SPARE PARTS CATALOG &amp; INDENT BOM</t>
        </is>
      </c>
    </row>
    <row r="2" ht="20" customHeight="1">
      <c r="A2" s="2" t="inlineStr">
        <is>
          <t>3WD Hydrostatic Traction | Vanguard 16 HP / Kohler Command Engine | Hydraulic Lift &amp; Scarifier Spares</t>
        </is>
      </c>
    </row>
    <row r="4" ht="28" customHeight="1">
      <c r="A4" s="3" t="inlineStr">
        <is>
          <t>Item No.</t>
        </is>
      </c>
      <c r="B4" s="3" t="inlineStr">
        <is>
          <t>Assembly Group</t>
        </is>
      </c>
      <c r="C4" s="3" t="inlineStr">
        <is>
          <t>Part / Component Description</t>
        </is>
      </c>
      <c r="D4" s="3" t="inlineStr">
        <is>
          <t>Toro Genuine Part No.</t>
        </is>
      </c>
      <c r="E4" s="3" t="inlineStr">
        <is>
          <t>Technical Specification / Profile</t>
        </is>
      </c>
      <c r="F4" s="3" t="inlineStr">
        <is>
          <t>Qty / Unit</t>
        </is>
      </c>
      <c r="G4" s="3" t="inlineStr">
        <is>
          <t>Maintenance Category</t>
        </is>
      </c>
    </row>
    <row r="5" ht="24" customHeight="1">
      <c r="A5" s="4" t="inlineStr">
        <is>
          <t>Hydrostatic Traction &amp; 3WD Wheel Drive Assembly</t>
        </is>
      </c>
      <c r="B5" s="5" t="n"/>
      <c r="C5" s="5" t="n"/>
      <c r="D5" s="5" t="n"/>
      <c r="E5" s="5" t="n"/>
      <c r="F5" s="5" t="n"/>
      <c r="G5" s="5" t="n"/>
    </row>
    <row r="6" ht="21" customHeight="1">
      <c r="A6" s="6" t="inlineStr">
        <is>
          <t>1.01</t>
        </is>
      </c>
      <c r="B6" s="7" t="inlineStr">
        <is>
          <t>Hydrostatic Traction &amp; 3WD Wheel Drive Assembly</t>
        </is>
      </c>
      <c r="C6" s="8" t="inlineStr">
        <is>
          <t>Hydrostatic Transmission Pump (Variable)</t>
        </is>
      </c>
      <c r="D6" s="9" t="inlineStr">
        <is>
          <t>94-2700 / 104-7040</t>
        </is>
      </c>
      <c r="E6" s="7" t="inlineStr">
        <is>
          <t>Sauer-Sundstrand / Hydro-Gear variable displacement axial piston pump</t>
        </is>
      </c>
      <c r="F6" s="6" t="n">
        <v>1</v>
      </c>
      <c r="G6" s="6" t="inlineStr">
        <is>
          <t>Hydraulic Traction</t>
        </is>
      </c>
    </row>
    <row r="7" ht="21" customHeight="1">
      <c r="A7" s="10" t="inlineStr">
        <is>
          <t>1.02</t>
        </is>
      </c>
      <c r="B7" s="11" t="inlineStr">
        <is>
          <t>Hydrostatic Traction &amp; 3WD Wheel Drive Assembly</t>
        </is>
      </c>
      <c r="C7" s="12" t="inlineStr">
        <is>
          <t>Front Wheel Hydraulic Drive Motor</t>
        </is>
      </c>
      <c r="D7" s="13" t="inlineStr">
        <is>
          <t>94-2701 / 106-9204</t>
        </is>
      </c>
      <c r="E7" s="11" t="inlineStr">
        <is>
          <t>Low-speed high-torque (LSHT) orbital hydraulic motor</t>
        </is>
      </c>
      <c r="F7" s="10" t="n">
        <v>1</v>
      </c>
      <c r="G7" s="10" t="inlineStr">
        <is>
          <t>Hydraulic Drive</t>
        </is>
      </c>
    </row>
    <row r="8" ht="21" customHeight="1">
      <c r="A8" s="6" t="inlineStr">
        <is>
          <t>1.03</t>
        </is>
      </c>
      <c r="B8" s="7" t="inlineStr">
        <is>
          <t>Hydrostatic Traction &amp; 3WD Wheel Drive Assembly</t>
        </is>
      </c>
      <c r="C8" s="8" t="inlineStr">
        <is>
          <t>Rear Wheel Hydraulic Drive Motor (LH &amp; RH)</t>
        </is>
      </c>
      <c r="D8" s="9" t="inlineStr">
        <is>
          <t>94-2702 / 106-9205</t>
        </is>
      </c>
      <c r="E8" s="7" t="inlineStr">
        <is>
          <t>Fixed displacement wheel drive motor (3-wheel series-parallel drive)</t>
        </is>
      </c>
      <c r="F8" s="6" t="n">
        <v>2</v>
      </c>
      <c r="G8" s="6" t="inlineStr">
        <is>
          <t>Hydraulic Drive</t>
        </is>
      </c>
    </row>
    <row r="9" ht="21" customHeight="1">
      <c r="A9" s="10" t="inlineStr">
        <is>
          <t>1.04</t>
        </is>
      </c>
      <c r="B9" s="11" t="inlineStr">
        <is>
          <t>Hydrostatic Traction &amp; 3WD Wheel Drive Assembly</t>
        </is>
      </c>
      <c r="C9" s="12" t="inlineStr">
        <is>
          <t>Wheel Hub Seal Kit &amp; Castle Nut</t>
        </is>
      </c>
      <c r="D9" s="13" t="inlineStr">
        <is>
          <t>94-2705 / 3220-7</t>
        </is>
      </c>
      <c r="E9" s="11" t="inlineStr">
        <is>
          <t>Axle shaft oil seal kit, hardened 1"-20 castle nut &amp; split pin</t>
        </is>
      </c>
      <c r="F9" s="10" t="n">
        <v>3</v>
      </c>
      <c r="G9" s="10" t="inlineStr">
        <is>
          <t>Hardware / Seal Kit</t>
        </is>
      </c>
    </row>
    <row r="10" ht="21" customHeight="1">
      <c r="A10" s="6" t="inlineStr">
        <is>
          <t>1.05</t>
        </is>
      </c>
      <c r="B10" s="7" t="inlineStr">
        <is>
          <t>Hydrostatic Traction &amp; 3WD Wheel Drive Assembly</t>
        </is>
      </c>
      <c r="C10" s="8" t="inlineStr">
        <is>
          <t>Hydrostatic Drive V-Belt (Engine-to-Pump)</t>
        </is>
      </c>
      <c r="D10" s="9" t="inlineStr">
        <is>
          <t>94-2707 / 104-7013</t>
        </is>
      </c>
      <c r="E10" s="7" t="inlineStr">
        <is>
          <t>Heavy-duty aramid cogged drive belt</t>
        </is>
      </c>
      <c r="F10" s="6" t="n">
        <v>1</v>
      </c>
      <c r="G10" s="6" t="inlineStr">
        <is>
          <t>Drive Belt / Wear</t>
        </is>
      </c>
    </row>
    <row r="11" ht="21" customHeight="1">
      <c r="A11" s="10" t="inlineStr">
        <is>
          <t>1.06</t>
        </is>
      </c>
      <c r="B11" s="11" t="inlineStr">
        <is>
          <t>Hydrostatic Traction &amp; 3WD Wheel Drive Assembly</t>
        </is>
      </c>
      <c r="C11" s="12" t="inlineStr">
        <is>
          <t>Hydrostatic Foot Pedal Damper / Shock</t>
        </is>
      </c>
      <c r="D11" s="13" t="inlineStr">
        <is>
          <t>94-2709 / 104-7045</t>
        </is>
      </c>
      <c r="E11" s="11" t="inlineStr">
        <is>
          <t>Hydraulic centering dampening shock absorber for neutral return</t>
        </is>
      </c>
      <c r="F11" s="10" t="n">
        <v>1</v>
      </c>
      <c r="G11" s="10" t="inlineStr">
        <is>
          <t>Control Hardware</t>
        </is>
      </c>
    </row>
    <row r="12" ht="21" customHeight="1">
      <c r="A12" s="6" t="inlineStr">
        <is>
          <t>1.07</t>
        </is>
      </c>
      <c r="B12" s="7" t="inlineStr">
        <is>
          <t>Hydrostatic Traction &amp; 3WD Wheel Drive Assembly</t>
        </is>
      </c>
      <c r="C12" s="8" t="inlineStr">
        <is>
          <t>Turf / Sand Traction Tyres (High Flotation)</t>
        </is>
      </c>
      <c r="D12" s="9" t="inlineStr">
        <is>
          <t>94-2715 / 22x11.00-8</t>
        </is>
      </c>
      <c r="E12" s="7" t="inlineStr">
        <is>
          <t>22x11.00-8 super knobby 4-ply high-flotation sand tyre</t>
        </is>
      </c>
      <c r="F12" s="6" t="n">
        <v>3</v>
      </c>
      <c r="G12" s="6" t="inlineStr">
        <is>
          <t>Tyres &amp; Rims</t>
        </is>
      </c>
    </row>
    <row r="13" ht="24" customHeight="1">
      <c r="A13" s="4" t="inlineStr">
        <is>
          <t>Hydraulic Filtration &amp; Steering Assembly</t>
        </is>
      </c>
      <c r="B13" s="5" t="n"/>
      <c r="C13" s="5" t="n"/>
      <c r="D13" s="5" t="n"/>
      <c r="E13" s="5" t="n"/>
      <c r="F13" s="5" t="n"/>
      <c r="G13" s="5" t="n"/>
    </row>
    <row r="14" ht="21" customHeight="1">
      <c r="A14" s="6" t="inlineStr">
        <is>
          <t>2.01</t>
        </is>
      </c>
      <c r="B14" s="7" t="inlineStr">
        <is>
          <t>Hydraulic Filtration &amp; Steering Assembly</t>
        </is>
      </c>
      <c r="C14" s="8" t="inlineStr">
        <is>
          <t>Hydraulic Oil Filter Element (10-Micron)</t>
        </is>
      </c>
      <c r="D14" s="9" t="inlineStr">
        <is>
          <t>94-2710 / 104-7011</t>
        </is>
      </c>
      <c r="E14" s="7" t="inlineStr">
        <is>
          <t>Spin-on 10-micron hydraulic return filter cartridge (synthetic media)</t>
        </is>
      </c>
      <c r="F14" s="6" t="n">
        <v>1</v>
      </c>
      <c r="G14" s="6" t="inlineStr">
        <is>
          <t>Routine Consumable</t>
        </is>
      </c>
    </row>
    <row r="15" ht="21" customHeight="1">
      <c r="A15" s="10" t="inlineStr">
        <is>
          <t>2.02</t>
        </is>
      </c>
      <c r="B15" s="11" t="inlineStr">
        <is>
          <t>Hydraulic Filtration &amp; Steering Assembly</t>
        </is>
      </c>
      <c r="C15" s="12" t="inlineStr">
        <is>
          <t>Hydraulic Lift Cylinder (Mid &amp; Rear Tool Lift)</t>
        </is>
      </c>
      <c r="D15" s="13" t="inlineStr">
        <is>
          <t>94-2720 / 104-7035</t>
        </is>
      </c>
      <c r="E15" s="11" t="inlineStr">
        <is>
          <t>Double-acting hydraulic lift ram cylinder</t>
        </is>
      </c>
      <c r="F15" s="10" t="n">
        <v>1</v>
      </c>
      <c r="G15" s="10" t="inlineStr">
        <is>
          <t>Hydraulic Actuator</t>
        </is>
      </c>
    </row>
    <row r="16" ht="21" customHeight="1">
      <c r="A16" s="6" t="inlineStr">
        <is>
          <t>2.03</t>
        </is>
      </c>
      <c r="B16" s="7" t="inlineStr">
        <is>
          <t>Hydraulic Filtration &amp; Steering Assembly</t>
        </is>
      </c>
      <c r="C16" s="8" t="inlineStr">
        <is>
          <t>Lift Cylinder Seal Repair Kit</t>
        </is>
      </c>
      <c r="D16" s="9" t="inlineStr">
        <is>
          <t>94-2722</t>
        </is>
      </c>
      <c r="E16" s="7" t="inlineStr">
        <is>
          <t>Piston U-cup seal, rod wiper &amp; Viton O-rings for lift ram</t>
        </is>
      </c>
      <c r="F16" s="6" t="n">
        <v>1</v>
      </c>
      <c r="G16" s="6" t="inlineStr">
        <is>
          <t>Hydraulic Repair Kit</t>
        </is>
      </c>
    </row>
    <row r="17" ht="21" customHeight="1">
      <c r="A17" s="10" t="inlineStr">
        <is>
          <t>2.04</t>
        </is>
      </c>
      <c r="B17" s="11" t="inlineStr">
        <is>
          <t>Hydraulic Filtration &amp; Steering Assembly</t>
        </is>
      </c>
      <c r="C17" s="12" t="inlineStr">
        <is>
          <t>Hydraulic Spool Control Valve (Manual/Lift)</t>
        </is>
      </c>
      <c r="D17" s="13" t="inlineStr">
        <is>
          <t>94-2725 / 104-7030</t>
        </is>
      </c>
      <c r="E17" s="11" t="inlineStr">
        <is>
          <t>Two-spool direction control valve with float position</t>
        </is>
      </c>
      <c r="F17" s="10" t="n">
        <v>1</v>
      </c>
      <c r="G17" s="10" t="inlineStr">
        <is>
          <t>Hydraulic Control</t>
        </is>
      </c>
    </row>
    <row r="18" ht="21" customHeight="1">
      <c r="A18" s="6" t="inlineStr">
        <is>
          <t>2.05</t>
        </is>
      </c>
      <c r="B18" s="7" t="inlineStr">
        <is>
          <t>Hydraulic Filtration &amp; Steering Assembly</t>
        </is>
      </c>
      <c r="C18" s="8" t="inlineStr">
        <is>
          <t>Steering Gearbox Assembly / Orbitrol Steering</t>
        </is>
      </c>
      <c r="D18" s="9" t="inlineStr">
        <is>
          <t>94-2730 / 104-7025</t>
        </is>
      </c>
      <c r="E18" s="7" t="inlineStr">
        <is>
          <t>Planetary reduction steering gear head / hydrostatic steering unit</t>
        </is>
      </c>
      <c r="F18" s="6" t="n">
        <v>1</v>
      </c>
      <c r="G18" s="6" t="inlineStr">
        <is>
          <t>Steering Mechanism</t>
        </is>
      </c>
    </row>
    <row r="19" ht="21" customHeight="1">
      <c r="A19" s="10" t="inlineStr">
        <is>
          <t>2.06</t>
        </is>
      </c>
      <c r="B19" s="11" t="inlineStr">
        <is>
          <t>Hydraulic Filtration &amp; Steering Assembly</t>
        </is>
      </c>
      <c r="C19" s="12" t="inlineStr">
        <is>
          <t>Steering Spindle Kingpin &amp; Needle Bearings</t>
        </is>
      </c>
      <c r="D19" s="13" t="inlineStr">
        <is>
          <t>94-2732 / 254-94</t>
        </is>
      </c>
      <c r="E19" s="11" t="inlineStr">
        <is>
          <t>Hardened kingpin spindle with upper &amp; lower needle roller bearings</t>
        </is>
      </c>
      <c r="F19" s="10" t="n">
        <v>2</v>
      </c>
      <c r="G19" s="10" t="inlineStr">
        <is>
          <t>Front Fork Pivot</t>
        </is>
      </c>
    </row>
    <row r="20" ht="24" customHeight="1">
      <c r="A20" s="4" t="inlineStr">
        <is>
          <t>Mid &amp; Rear Bunker Rake, Scarifier &amp; Blade Attachments</t>
        </is>
      </c>
      <c r="B20" s="5" t="n"/>
      <c r="C20" s="5" t="n"/>
      <c r="D20" s="5" t="n"/>
      <c r="E20" s="5" t="n"/>
      <c r="F20" s="5" t="n"/>
      <c r="G20" s="5" t="n"/>
    </row>
    <row r="21" ht="21" customHeight="1">
      <c r="A21" s="10" t="inlineStr">
        <is>
          <t>3.01</t>
        </is>
      </c>
      <c r="B21" s="11" t="inlineStr">
        <is>
          <t>Mid &amp; Rear Bunker Rake, Scarifier &amp; Blade Attachments</t>
        </is>
      </c>
      <c r="C21" s="12" t="inlineStr">
        <is>
          <t>Rear Spring-Steel Rake Teeth (Tine)</t>
        </is>
      </c>
      <c r="D21" s="13" t="inlineStr">
        <is>
          <t>94-2740 / 100-3315</t>
        </is>
      </c>
      <c r="E21" s="11" t="inlineStr">
        <is>
          <t>Heat-treated flexible spring-steel bunker finishing tine</t>
        </is>
      </c>
      <c r="F21" s="10" t="n">
        <v>24</v>
      </c>
      <c r="G21" s="10" t="inlineStr">
        <is>
          <t>Wear Component</t>
        </is>
      </c>
    </row>
    <row r="22" ht="21" customHeight="1">
      <c r="A22" s="6" t="inlineStr">
        <is>
          <t>3.02</t>
        </is>
      </c>
      <c r="B22" s="7" t="inlineStr">
        <is>
          <t>Mid &amp; Rear Bunker Rake, Scarifier &amp; Blade Attachments</t>
        </is>
      </c>
      <c r="C22" s="8" t="inlineStr">
        <is>
          <t>Rake Tooth Clamp Bracket &amp; Fastener Kit</t>
        </is>
      </c>
      <c r="D22" s="9" t="inlineStr">
        <is>
          <t>94-2742</t>
        </is>
      </c>
      <c r="E22" s="7" t="inlineStr">
        <is>
          <t>Individual tine clamp plate, Grade 8.8 carriage bolt &amp; nyloc nut</t>
        </is>
      </c>
      <c r="F22" s="6" t="n">
        <v>24</v>
      </c>
      <c r="G22" s="6" t="inlineStr">
        <is>
          <t>Fastener Hardware</t>
        </is>
      </c>
    </row>
    <row r="23" ht="21" customHeight="1">
      <c r="A23" s="10" t="inlineStr">
        <is>
          <t>3.03</t>
        </is>
      </c>
      <c r="B23" s="11" t="inlineStr">
        <is>
          <t>Mid &amp; Rear Bunker Rake, Scarifier &amp; Blade Attachments</t>
        </is>
      </c>
      <c r="C23" s="12" t="inlineStr">
        <is>
          <t>Rear Finishing Broom / Flex Broom Strip</t>
        </is>
      </c>
      <c r="D23" s="13" t="inlineStr">
        <is>
          <t>94-2745 / 108-8496</t>
        </is>
      </c>
      <c r="E23" s="11" t="inlineStr">
        <is>
          <t>Heavy nylon bristle sweep broom strip (5-foot / 60" width)</t>
        </is>
      </c>
      <c r="F23" s="10" t="n">
        <v>1</v>
      </c>
      <c r="G23" s="10" t="inlineStr">
        <is>
          <t>Finishing Attachment</t>
        </is>
      </c>
    </row>
    <row r="24" ht="21" customHeight="1">
      <c r="A24" s="6" t="inlineStr">
        <is>
          <t>3.04</t>
        </is>
      </c>
      <c r="B24" s="7" t="inlineStr">
        <is>
          <t>Mid &amp; Rear Bunker Rake, Scarifier &amp; Blade Attachments</t>
        </is>
      </c>
      <c r="C24" s="8" t="inlineStr">
        <is>
          <t>Mid-Mount Scarifier Tines (Spring Tine / Rigid)</t>
        </is>
      </c>
      <c r="D24" s="9" t="inlineStr">
        <is>
          <t>94-2750 / 100-3320</t>
        </is>
      </c>
      <c r="E24" s="7" t="inlineStr">
        <is>
          <t>Hardened chisel-point scarifier tooth for compacted infield clay/sand</t>
        </is>
      </c>
      <c r="F24" s="6" t="n">
        <v>11</v>
      </c>
      <c r="G24" s="6" t="inlineStr">
        <is>
          <t>Ground Engaging Tool</t>
        </is>
      </c>
    </row>
    <row r="25" ht="21" customHeight="1">
      <c r="A25" s="10" t="inlineStr">
        <is>
          <t>3.05</t>
        </is>
      </c>
      <c r="B25" s="11" t="inlineStr">
        <is>
          <t>Mid &amp; Rear Bunker Rake, Scarifier &amp; Blade Attachments</t>
        </is>
      </c>
      <c r="C25" s="12" t="inlineStr">
        <is>
          <t>Front Dozer / Leveling Blade Reversible Wear Bar</t>
        </is>
      </c>
      <c r="D25" s="13" t="inlineStr">
        <is>
          <t>94-2755 / 100-3325</t>
        </is>
      </c>
      <c r="E25" s="11" t="inlineStr">
        <is>
          <t>40" / 50" Reversible high-carbon steel bolt-on cutting edge runner</t>
        </is>
      </c>
      <c r="F25" s="10" t="n">
        <v>1</v>
      </c>
      <c r="G25" s="10" t="inlineStr">
        <is>
          <t>Wear Component</t>
        </is>
      </c>
    </row>
    <row r="26" ht="21" customHeight="1">
      <c r="A26" s="6" t="inlineStr">
        <is>
          <t>3.06</t>
        </is>
      </c>
      <c r="B26" s="7" t="inlineStr">
        <is>
          <t>Mid &amp; Rear Bunker Rake, Scarifier &amp; Blade Attachments</t>
        </is>
      </c>
      <c r="C26" s="8" t="inlineStr">
        <is>
          <t>Quick-Attach Clevis Pins &amp; Linchpins Set</t>
        </is>
      </c>
      <c r="D26" s="9" t="inlineStr">
        <is>
          <t>94-2758 / 283-72</t>
        </is>
      </c>
      <c r="E26" s="7" t="inlineStr">
        <is>
          <t>1/2" &amp; 5/8" zinc-plated hitch clevis pins with spring R-clips</t>
        </is>
      </c>
      <c r="F26" s="6" t="n">
        <v>6</v>
      </c>
      <c r="G26" s="6" t="inlineStr">
        <is>
          <t>Attachment Linkage</t>
        </is>
      </c>
    </row>
    <row r="27" ht="24" customHeight="1">
      <c r="A27" s="4" t="inlineStr">
        <is>
          <t>Engine Powerhead (Kohler Command / Vanguard 16 HP) &amp; Electrical</t>
        </is>
      </c>
      <c r="B27" s="5" t="n"/>
      <c r="C27" s="5" t="n"/>
      <c r="D27" s="5" t="n"/>
      <c r="E27" s="5" t="n"/>
      <c r="F27" s="5" t="n"/>
      <c r="G27" s="5" t="n"/>
    </row>
    <row r="28" ht="21" customHeight="1">
      <c r="A28" s="6" t="inlineStr">
        <is>
          <t>4.01</t>
        </is>
      </c>
      <c r="B28" s="7" t="inlineStr">
        <is>
          <t>Engine Powerhead</t>
        </is>
      </c>
      <c r="C28" s="8" t="inlineStr">
        <is>
          <t>Engine Lube Oil Filter (Spin-on)</t>
        </is>
      </c>
      <c r="D28" s="9" t="inlineStr">
        <is>
          <t>104-5167 / 12-050-01-S</t>
        </is>
      </c>
      <c r="E28" s="7" t="inlineStr">
        <is>
          <t>Spin-on oil filter cartridge (Kohler / Vanguard OEM)</t>
        </is>
      </c>
      <c r="F28" s="6" t="n">
        <v>1</v>
      </c>
      <c r="G28" s="6" t="inlineStr">
        <is>
          <t>Routine Consumable</t>
        </is>
      </c>
    </row>
    <row r="29" ht="21" customHeight="1">
      <c r="A29" s="10" t="inlineStr">
        <is>
          <t>4.02</t>
        </is>
      </c>
      <c r="B29" s="11" t="inlineStr">
        <is>
          <t>Engine Powerhead</t>
        </is>
      </c>
      <c r="C29" s="12" t="inlineStr">
        <is>
          <t>Dual-Stage Air Filter Element Cartridge</t>
        </is>
      </c>
      <c r="D29" s="13" t="inlineStr">
        <is>
          <t>104-5168 / 47-083-03-S</t>
        </is>
      </c>
      <c r="E29" s="11" t="inlineStr">
        <is>
          <t>Pleated paper primary cartridge with washable foam pre-cleaner</t>
        </is>
      </c>
      <c r="F29" s="10" t="n">
        <v>1</v>
      </c>
      <c r="G29" s="10" t="inlineStr">
        <is>
          <t>Routine Consumable</t>
        </is>
      </c>
    </row>
    <row r="30" ht="21" customHeight="1">
      <c r="A30" s="6" t="inlineStr">
        <is>
          <t>4.03</t>
        </is>
      </c>
      <c r="B30" s="7" t="inlineStr">
        <is>
          <t>Engine Powerhead</t>
        </is>
      </c>
      <c r="C30" s="8" t="inlineStr">
        <is>
          <t>Inline Fuel Filter Element</t>
        </is>
      </c>
      <c r="D30" s="9" t="inlineStr">
        <is>
          <t>104-5169 / 24-050-13-S</t>
        </is>
      </c>
      <c r="E30" s="7" t="inlineStr">
        <is>
          <t>75-micron translucent inline fuel filter</t>
        </is>
      </c>
      <c r="F30" s="6" t="n">
        <v>1</v>
      </c>
      <c r="G30" s="6" t="inlineStr">
        <is>
          <t>Routine Consumable</t>
        </is>
      </c>
    </row>
    <row r="31" ht="21" customHeight="1">
      <c r="A31" s="10" t="inlineStr">
        <is>
          <t>4.04</t>
        </is>
      </c>
      <c r="B31" s="11" t="inlineStr">
        <is>
          <t>Engine Powerhead</t>
        </is>
      </c>
      <c r="C31" s="12" t="inlineStr">
        <is>
          <t>Resistor Spark Plug (Champion RC12YC / NGK BKR5E)</t>
        </is>
      </c>
      <c r="D31" s="13" t="inlineStr">
        <is>
          <t>92-0242 / 12-132-02-S</t>
        </is>
      </c>
      <c r="E31" s="11" t="inlineStr">
        <is>
          <t>14mm hex spark plug (preset gap 0.76 mm / 0.030")</t>
        </is>
      </c>
      <c r="F31" s="10" t="n">
        <v>2</v>
      </c>
      <c r="G31" s="10" t="inlineStr">
        <is>
          <t>Routine Consumable</t>
        </is>
      </c>
    </row>
    <row r="32" ht="21" customHeight="1">
      <c r="A32" s="6" t="inlineStr">
        <is>
          <t>4.05</t>
        </is>
      </c>
      <c r="B32" s="7" t="inlineStr">
        <is>
          <t>Engine Powerhead</t>
        </is>
      </c>
      <c r="C32" s="8" t="inlineStr">
        <is>
          <t>12V Starter Motor Assembly with Solenoid</t>
        </is>
      </c>
      <c r="D32" s="9" t="inlineStr">
        <is>
          <t>104-5175 / 12-098-22-S</t>
        </is>
      </c>
      <c r="E32" s="7" t="inlineStr">
        <is>
          <t>Pre-engaged 12V starter motor with bendix drive</t>
        </is>
      </c>
      <c r="F32" s="6" t="n">
        <v>1</v>
      </c>
      <c r="G32" s="6" t="inlineStr">
        <is>
          <t>Electrical Starting</t>
        </is>
      </c>
    </row>
    <row r="33" ht="21" customHeight="1">
      <c r="A33" s="10" t="inlineStr">
        <is>
          <t>4.06</t>
        </is>
      </c>
      <c r="B33" s="11" t="inlineStr">
        <is>
          <t>Engine Powerhead</t>
        </is>
      </c>
      <c r="C33" s="12" t="inlineStr">
        <is>
          <t>Safety Interlock Seat / Neutral Switch</t>
        </is>
      </c>
      <c r="D33" s="13" t="inlineStr">
        <is>
          <t>94-2770 / 100-1270</t>
        </is>
      </c>
      <c r="E33" s="11" t="inlineStr">
        <is>
          <t>Plunger-type safety microswitch (seat presence &amp; neutral safety)</t>
        </is>
      </c>
      <c r="F33" s="10" t="n">
        <v>2</v>
      </c>
      <c r="G33" s="10" t="inlineStr">
        <is>
          <t>Electrical Safety</t>
        </is>
      </c>
    </row>
    <row r="34" ht="21" customHeight="1">
      <c r="A34" s="6" t="inlineStr">
        <is>
          <t>4.07</t>
        </is>
      </c>
      <c r="B34" s="7" t="inlineStr">
        <is>
          <t>Engine Powerhead</t>
        </is>
      </c>
      <c r="C34" s="8" t="inlineStr">
        <is>
          <t>Throttle &amp; Choke Control Cable Assembly</t>
        </is>
      </c>
      <c r="D34" s="9" t="inlineStr">
        <is>
          <t>94-2775 / 104-7060</t>
        </is>
      </c>
      <c r="E34" s="7" t="inlineStr">
        <is>
          <t>Heavy-duty push-pull Bowden control cables with T-handles</t>
        </is>
      </c>
      <c r="F34" s="6" t="n">
        <v>2</v>
      </c>
      <c r="G34" s="6" t="inlineStr">
        <is>
          <t>Control Cable</t>
        </is>
      </c>
    </row>
    <row r="35" ht="25" customHeight="1">
      <c r="A35" s="14" t="inlineStr">
        <is>
          <t>TOTAL INDENT / BOM LINE ITEMS</t>
        </is>
      </c>
      <c r="B35" s="15" t="n"/>
      <c r="C35" s="15" t="n"/>
      <c r="D35" s="15" t="n"/>
      <c r="E35" s="15" t="n"/>
      <c r="F35" s="16">
        <f>SUM(F5:F34)</f>
        <v/>
      </c>
      <c r="G35" s="17" t="inlineStr"/>
    </row>
  </sheetData>
  <mergeCells count="7">
    <mergeCell ref="A13:G13"/>
    <mergeCell ref="A35:E35"/>
    <mergeCell ref="A1:G1"/>
    <mergeCell ref="A27:G27"/>
    <mergeCell ref="A20:G20"/>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28" customWidth="1" min="1" max="1"/>
    <col width="44" customWidth="1" min="2" max="2"/>
    <col width="24" customWidth="1" min="3" max="3"/>
    <col width="24" customWidth="1" min="4" max="4"/>
    <col width="20" customWidth="1" min="5" max="5"/>
  </cols>
  <sheetData>
    <row r="1" ht="35" customHeight="1">
      <c r="A1" s="18" t="inlineStr">
        <is>
          <t>TORO SAND PRO 4050 - FLUID CAPACITIES &amp; WORKSHOP PROTOCOLS</t>
        </is>
      </c>
    </row>
    <row r="3">
      <c r="A3" s="19" t="inlineStr">
        <is>
          <t>System Fluid Specifications &amp; Capacities</t>
        </is>
      </c>
    </row>
    <row r="4" ht="24" customHeight="1">
      <c r="A4" s="20" t="inlineStr">
        <is>
          <t>Aggregate / System</t>
        </is>
      </c>
      <c r="B4" s="20" t="inlineStr">
        <is>
          <t>Recommended Grade / Specification</t>
        </is>
      </c>
      <c r="C4" s="20" t="inlineStr">
        <is>
          <t>Total Capacity (Liters)</t>
        </is>
      </c>
      <c r="D4" s="20" t="inlineStr">
        <is>
          <t>Service Interval</t>
        </is>
      </c>
    </row>
    <row r="5" ht="20" customHeight="1">
      <c r="A5" s="21" t="inlineStr">
        <is>
          <t>Engine Sump (Kohler / Vanguard)</t>
        </is>
      </c>
      <c r="B5" s="22" t="inlineStr">
        <is>
          <t>SAE 10W-30 API SJ / CH-4 Heavy Duty Engine Oil</t>
        </is>
      </c>
      <c r="C5" s="22" t="inlineStr">
        <is>
          <t>1.4 L - 1.9 L</t>
        </is>
      </c>
      <c r="D5" s="22" t="inlineStr">
        <is>
          <t>Every 100 Hours</t>
        </is>
      </c>
    </row>
    <row r="6" ht="20" customHeight="1">
      <c r="A6" s="23" t="inlineStr">
        <is>
          <t>Hydraulic Traction System Reservoir</t>
        </is>
      </c>
      <c r="B6" s="24" t="inlineStr">
        <is>
          <t>Toro Premium All-Season Hydraulic Fluid / ISO VG 46/68</t>
        </is>
      </c>
      <c r="C6" s="24" t="inlineStr">
        <is>
          <t>15.0 L - 18.0 L</t>
        </is>
      </c>
      <c r="D6" s="24" t="inlineStr">
        <is>
          <t>Every 800 Hours / Annually</t>
        </is>
      </c>
    </row>
    <row r="7" ht="20" customHeight="1">
      <c r="A7" s="21" t="inlineStr">
        <is>
          <t>Hydraulic Return Filter</t>
        </is>
      </c>
      <c r="B7" s="22" t="inlineStr">
        <is>
          <t>10-Micron Synthetic Spin-on Canister (104-7011)</t>
        </is>
      </c>
      <c r="C7" s="22" t="inlineStr">
        <is>
          <t>1 Spin-on Element</t>
        </is>
      </c>
      <c r="D7" s="22" t="inlineStr">
        <is>
          <t>Every 400 Hours</t>
        </is>
      </c>
    </row>
    <row r="8" ht="20" customHeight="1">
      <c r="A8" s="23" t="inlineStr">
        <is>
          <t>Fuel Tank Capacity</t>
        </is>
      </c>
      <c r="B8" s="24" t="inlineStr">
        <is>
          <t>Unleaded Automotive Petrol (Regular 87+ Octane)</t>
        </is>
      </c>
      <c r="C8" s="24" t="inlineStr">
        <is>
          <t>18.9 L (5.0 US Gallons)</t>
        </is>
      </c>
      <c r="D8" s="24" t="inlineStr">
        <is>
          <t>Refill as required</t>
        </is>
      </c>
    </row>
    <row r="9" ht="20" customHeight="1">
      <c r="A9" s="21" t="inlineStr">
        <is>
          <t>Front Steering Fork Bearings</t>
        </is>
      </c>
      <c r="B9" s="22" t="inlineStr">
        <is>
          <t>NLGI Grade 2 Multi-Purpose Lithium Grease</t>
        </is>
      </c>
      <c r="C9" s="22" t="inlineStr">
        <is>
          <t>Grease gun application</t>
        </is>
      </c>
      <c r="D9" s="22" t="inlineStr">
        <is>
          <t>Every 50 Hours</t>
        </is>
      </c>
    </row>
    <row r="10" ht="20" customHeight="1">
      <c r="A10" s="23" t="inlineStr">
        <is>
          <t>Tyre Inflation Pressure</t>
        </is>
      </c>
      <c r="B10" s="24" t="inlineStr">
        <is>
          <t>High flotation 22x11.00-8 tyres</t>
        </is>
      </c>
      <c r="C10" s="24" t="inlineStr">
        <is>
          <t>8 - 10 PSI (0.55 - 0.69 bar)</t>
        </is>
      </c>
      <c r="D10" s="24" t="inlineStr">
        <is>
          <t>Inspect Weekly</t>
        </is>
      </c>
    </row>
    <row r="13">
      <c r="A13" s="19" t="inlineStr">
        <is>
          <t>Key Workshop Maintenance Protocols</t>
        </is>
      </c>
    </row>
    <row r="14" ht="38" customHeight="1">
      <c r="A14" s="25" t="inlineStr">
        <is>
          <t>1. Hydrostatic Traction Neutral Creep Adjustment</t>
        </is>
      </c>
      <c r="B14" s="26" t="inlineStr">
        <is>
          <t>If the Sand Pro creeps forward or backward when the traction foot pedal is released, adjust the neutral return spring linkage and eccentric stop located on the hydrostatic pump control arm until zero wheel rotation occurs at idle.</t>
        </is>
      </c>
    </row>
    <row r="15" ht="38" customHeight="1">
      <c r="A15" s="25" t="inlineStr">
        <is>
          <t>2. Hydraulic Oil Temperature &amp; Filtration</t>
        </is>
      </c>
      <c r="B15" s="26" t="inlineStr">
        <is>
          <t>Bunker raking creates constant high hydraulic load due to 3WD wheel slip in loose sand. Maintain oil cleanliness by replacing the 10-micron filter (104-7011) at 400 hours. If hydraulic oil overheats (&gt;85°C), clean the hydraulic oil cooler matrix with compressed air.</t>
        </is>
      </c>
    </row>
    <row r="16" ht="38" customHeight="1">
      <c r="A16" s="25" t="inlineStr">
        <is>
          <t>3. Flotation Tyre Pressure Equalization</t>
        </is>
      </c>
      <c r="B16" s="26" t="inlineStr">
        <is>
          <t>Traction tyres must be strictly maintained at 8 to 10 PSI. Uneven tyre pressure causes machine tilting, unequal scarifier depth on baseball infields/cricket practice clay, and premature orbital motor wear.</t>
        </is>
      </c>
    </row>
    <row r="17" ht="38" customHeight="1">
      <c r="A17" s="25" t="inlineStr">
        <is>
          <t>4. Rake Tooth Replacement Practice</t>
        </is>
      </c>
      <c r="B17" s="26" t="inlineStr">
        <is>
          <t>Inspect the 24 rear spring steel tines (100-3315) regularly. Replace individual worn tines before the clamp brackets scrape against the bunker sand or clay bed, which prevents gouging the bunker liner beneath the sand.</t>
        </is>
      </c>
    </row>
    <row r="18" ht="38" customHeight="1">
      <c r="A18" s="25" t="inlineStr">
        <is>
          <t>5. Engine Air Intake Dust Protection</t>
        </is>
      </c>
      <c r="B18" s="26" t="inlineStr">
        <is>
          <t>Bunkers and sports infields generate extreme silica dust. Inspect the foam pre-cleaner daily and blow out the paper cartridge (47-083-03-S). Never wash the pleated paper cartridge in water or solvent.</t>
        </is>
      </c>
    </row>
  </sheetData>
  <mergeCells count="6">
    <mergeCell ref="B17:E17"/>
    <mergeCell ref="B18:E18"/>
    <mergeCell ref="B16:E16"/>
    <mergeCell ref="B15:E15"/>
    <mergeCell ref="A1:E1"/>
    <mergeCell ref="B14:E1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2026-10-12T17:04:29Z</dcterms:created>
  <dcterms:modified xmlns:dcterms="http://purl.org/dc/terms/" xmlns:xsi="http://www.w3.org/2001/XMLSchema-instance" xsi:type="dcterms:W3CDTF">2026-10-12T17:04:29Z</dcterms:modified>
</cp:coreProperties>
</file>