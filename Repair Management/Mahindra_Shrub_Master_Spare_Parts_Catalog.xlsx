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re Parts Catalog" sheetId="1" r:id="rId4"/>
    <sheet state="visible" name="Overview &amp; Indent Notes" sheetId="2" r:id="rId5"/>
  </sheets>
  <definedNames/>
  <calcPr/>
</workbook>
</file>

<file path=xl/sharedStrings.xml><?xml version="1.0" encoding="utf-8"?>
<sst xmlns="http://schemas.openxmlformats.org/spreadsheetml/2006/main" count="176" uniqueCount="143">
  <si>
    <t>MAHINDRA SHRUB MASTER / ROTARY SLASHER - SPARE PARTS CATALOG &amp; BILL OF MATERIALS</t>
  </si>
  <si>
    <t>Applitrac / Swaraj Division Compatible Implement Components | Standard 540 RPM PTO Models</t>
  </si>
  <si>
    <t>Item No.</t>
  </si>
  <si>
    <t>Assembly Group</t>
  </si>
  <si>
    <t>Part / Component Description</t>
  </si>
  <si>
    <t>OEM / Mahindra Item Code Ref.</t>
  </si>
  <si>
    <t>Technical Specification / Standard</t>
  </si>
  <si>
    <t>Qty / Unit</t>
  </si>
  <si>
    <t>Maintenance Category</t>
  </si>
  <si>
    <t>Cutting Rotor &amp; Blade Assembly</t>
  </si>
  <si>
    <t>1.01</t>
  </si>
  <si>
    <t>Slashing Blade (Swing Type)</t>
  </si>
  <si>
    <t>000000030B / MFM-SM-BLD01</t>
  </si>
  <si>
    <t>Boron Steel 28MnCrB5 / High Carbon EN42J, Reversible Stepped Edge</t>
  </si>
  <si>
    <t>High-Wear Replaceable</t>
  </si>
  <si>
    <t>1.02</t>
  </si>
  <si>
    <t>Blade Mounting Bolt &amp; Nut Kit</t>
  </si>
  <si>
    <t>MFM-SM-FST-BLT</t>
  </si>
  <si>
    <t>Grade 10.9/12.9 Shoulder Bolt with Castle Nut &amp; Split Pin</t>
  </si>
  <si>
    <t>Hardware / Fastener</t>
  </si>
  <si>
    <t>1.03</t>
  </si>
  <si>
    <t>Blade Pivot Bushing</t>
  </si>
  <si>
    <t>MFM-SM-BSH-01</t>
  </si>
  <si>
    <t>Case-hardened wear bush for blade pivot hole</t>
  </si>
  <si>
    <t>1.04</t>
  </si>
  <si>
    <t>Blade Carrier Plate / Cross Bar</t>
  </si>
  <si>
    <t>000000020A / MFM-SM-PLT-01</t>
  </si>
  <si>
    <t>Heavy-duty dish / round rotor plate, structural steel</t>
  </si>
  <si>
    <t>Structural Assembly</t>
  </si>
  <si>
    <t>1.05</t>
  </si>
  <si>
    <t>Rotor Hub / Output Drive Flange</t>
  </si>
  <si>
    <t>MFM-SM-SFT-02</t>
  </si>
  <si>
    <t>Splined drive hub mating to vertical output pinion</t>
  </si>
  <si>
    <t>Critical Mechanical</t>
  </si>
  <si>
    <t>Gearbox Assembly (1:1.93 / 540 RPM Bevel Drive)</t>
  </si>
  <si>
    <t>2.01</t>
  </si>
  <si>
    <t>Gearbox Assembly</t>
  </si>
  <si>
    <t>Complete Bevel Gearbox Assembly</t>
  </si>
  <si>
    <t>MFM-GB-SM540</t>
  </si>
  <si>
    <t>Cast iron SG400 housing, 1:1.93 ratio, 540 RPM input</t>
  </si>
  <si>
    <t>Complete Sub-Assembly</t>
  </si>
  <si>
    <t>2.02</t>
  </si>
  <si>
    <t>Input Pinion Shaft (Horizontal)</t>
  </si>
  <si>
    <t>MFM-GB-INP-01</t>
  </si>
  <si>
    <t>6-Spline 1-3/8" (35mm) forged alloy steel shaft</t>
  </si>
  <si>
    <t>Internal Drive</t>
  </si>
  <si>
    <t>2.03</t>
  </si>
  <si>
    <t>Crown Wheel &amp; Bevel Pinion Set</t>
  </si>
  <si>
    <t>100083304700 / MFM-GB-GEAR-ST</t>
  </si>
  <si>
    <t>Matched spiral/straight bevel gear set, case hardened</t>
  </si>
  <si>
    <t>2.04</t>
  </si>
  <si>
    <t>Output Pinion Shaft (Vertical Rotor Axle)</t>
  </si>
  <si>
    <t>MFM-GB-OUT-01</t>
  </si>
  <si>
    <t>Tapered splined vertical shaft for blade carrier</t>
  </si>
  <si>
    <t>2.05</t>
  </si>
  <si>
    <t>Input Taper Roller Bearing</t>
  </si>
  <si>
    <t>32208 / 933300032208</t>
  </si>
  <si>
    <t>Deep groove/taper roller bearing 40x80x24.75 mm</t>
  </si>
  <si>
    <t>Bearing / Overhaul</t>
  </si>
  <si>
    <t>2.06</t>
  </si>
  <si>
    <t>Output Taper Roller Bearing</t>
  </si>
  <si>
    <t>32210 / 933300032210</t>
  </si>
  <si>
    <t>Heavy radial/thrust taper roller bearing 50x90x24.75 mm</t>
  </si>
  <si>
    <t>2.07</t>
  </si>
  <si>
    <t>Lower Oil Seal (Output Shaft / Rotor Side)</t>
  </si>
  <si>
    <t>9341-XX / MFM-GB-SEAL-L</t>
  </si>
  <si>
    <t>Double-lip rotary shaft seal (dirt lip protected)</t>
  </si>
  <si>
    <t>Consumable / Preventative</t>
  </si>
  <si>
    <t>2.08</t>
  </si>
  <si>
    <t>Upper Input Oil Seal</t>
  </si>
  <si>
    <t>MFM-GB-SEAL-U</t>
  </si>
  <si>
    <t>Double-lip nitrile rubber shaft seal 35x72x10 mm</t>
  </si>
  <si>
    <t>2.09</t>
  </si>
  <si>
    <t>Gearbox Air Breather / Pressure Relief Vent</t>
  </si>
  <si>
    <t>101046400300</t>
  </si>
  <si>
    <t>M16/M18 thread pressure breather plug</t>
  </si>
  <si>
    <t>Preventative Service</t>
  </si>
  <si>
    <t>PTO Propeller Shaft Assembly</t>
  </si>
  <si>
    <t>3.01</t>
  </si>
  <si>
    <t>Complete Telescopic PTO Drive Shaft</t>
  </si>
  <si>
    <t>MFM-PTO-SM-ASSY</t>
  </si>
  <si>
    <t>Size 4 / Size 6 series with shear bolt torque limiter</t>
  </si>
  <si>
    <t>Transmission Drive</t>
  </si>
  <si>
    <t>3.02</t>
  </si>
  <si>
    <t>Universal Cross Journal Kit (U-Joint)</t>
  </si>
  <si>
    <t>0501AA0290N / MPS15NDB</t>
  </si>
  <si>
    <t>Greaseable spider with 4 bearing cups &amp; circlips</t>
  </si>
  <si>
    <t>Wear Component</t>
  </si>
  <si>
    <t>3.03</t>
  </si>
  <si>
    <t>Tractor End Splined Yoke</t>
  </si>
  <si>
    <t>MFM-PTO-YK-TR</t>
  </si>
  <si>
    <t>1-3/8" 6-spline quick release collar / push-pin yoke</t>
  </si>
  <si>
    <t>Coupling</t>
  </si>
  <si>
    <t>3.04</t>
  </si>
  <si>
    <t>Implement End Yoke (Flange / Pinch)</t>
  </si>
  <si>
    <t>MFM-PTO-YK-IM</t>
  </si>
  <si>
    <t>Taper-pin or shear bolt hub yoke for 1-3/8" shaft</t>
  </si>
  <si>
    <t>3.05</t>
  </si>
  <si>
    <t>Sacrificial Shear Bolt &amp; Lock Nut Kit</t>
  </si>
  <si>
    <t>MFM-PTO-SBLT</t>
  </si>
  <si>
    <t>Grade 8.8 sacrificial bolt M8/M10 with nyloc nut</t>
  </si>
  <si>
    <t>Safety Consumable</t>
  </si>
  <si>
    <t>3.06</t>
  </si>
  <si>
    <t>PTO Safety Shield &amp; Guard Assembly</t>
  </si>
  <si>
    <t>MFM-PTO-GRD-01</t>
  </si>
  <si>
    <t>CE/IS compliant ribbed yellow tube cover with safety chains</t>
  </si>
  <si>
    <t>Safety Compliance</t>
  </si>
  <si>
    <t>Chassis, 3-Point Linkage &amp; Skid Assemblies</t>
  </si>
  <si>
    <t>4.01</t>
  </si>
  <si>
    <t>Side Depth Skids (Left &amp; Right Pair)</t>
  </si>
  <si>
    <t>MFM-SM-SKD-LH / RH</t>
  </si>
  <si>
    <t>Heavy-gauge wear shoe runners with bevel front</t>
  </si>
  <si>
    <t>4.02</t>
  </si>
  <si>
    <t>Skid Mounting Carriage Bolt Set</t>
  </si>
  <si>
    <t>MFM-HDW-SKD</t>
  </si>
  <si>
    <t>Square neck carriage bolts M14x40 Grade 8.8 with spring washers</t>
  </si>
  <si>
    <t>4.03</t>
  </si>
  <si>
    <t>Category I/II 3-Point Hitch Lower Pins</t>
  </si>
  <si>
    <t>000000004HB / MFM-LNK-PIN</t>
  </si>
  <si>
    <t>Standard lower link pins (28mm / 22mm stepped) with linchpin</t>
  </si>
  <si>
    <t>Hardware / Linkage</t>
  </si>
  <si>
    <t>4.04</t>
  </si>
  <si>
    <t>Top Link Mast Pin</t>
  </si>
  <si>
    <t>MFM-TL-PIN-01</t>
  </si>
  <si>
    <t>Standard Cat-II 25.4mm (1") pin with retaining split/linchpin</t>
  </si>
  <si>
    <t>4.05</t>
  </si>
  <si>
    <t>Stone &amp; Debris Deflector Flap / Chain Shield</t>
  </si>
  <si>
    <t>MFM-SM-DFT-01</t>
  </si>
  <si>
    <t>Reinforced rubber curtain / chain-link deflector bar</t>
  </si>
  <si>
    <t>Safety Guard</t>
  </si>
  <si>
    <t>TOTAL INDENT / BOM LINE ITEMS</t>
  </si>
  <si>
    <t>MAHINDRA SHRUB MASTER - PROCUREMENT &amp; SPARE INDENT GUIDELINES</t>
  </si>
  <si>
    <t>Key Technical &amp; Maintenance Notes</t>
  </si>
  <si>
    <t>1. Procurement Identification</t>
  </si>
  <si>
    <t>When ordering through Mahindra Farm Equipment Sector (FES) dealers, always quote the model size (4ft, 5ft, or 6ft cutting width) along with the stamped implement serial plate located on the 3-point linkage mast.</t>
  </si>
  <si>
    <t>2. Fastener Grades</t>
  </si>
  <si>
    <t>Blade fasteners must strictly maintain Grade 10.9 or Grade 12.9 high tensile specification with castle nuts and split pins. Do not replace with standard grade 4.6 or 8.8 bolts due to extreme centrifugal cutting shear loads.</t>
  </si>
  <si>
    <t>3. Shear Bolt Protection</t>
  </si>
  <si>
    <t>PTO drive shear bolts must be Grade 8.8 sacrificial bolts. Do not use hardened 10.9/12.9 bolts in the shear hub; doing so risks catastrophic damage to the tractor PTO output shaft and implement bevel pinion during stump/stone impacts.</t>
  </si>
  <si>
    <t>4. Lubrication &amp; Sealing</t>
  </si>
  <si>
    <t>The bevel gearbox requires EP-90 or EP-140 gear oil (approx. 1.2 to 1.5 Liters). Check breather plug function periodically to prevent seal blowout from internal thermal air expansion.</t>
  </si>
  <si>
    <t>5. Interchangeability</t>
  </si>
  <si>
    <t>Bearings (32208 &amp; 32210) and universal U-joint cross spider kits are standardized ISO/metric parts and can be procured from standard high-tier bearing manufacturers (SKF/FAG/Timken) if OEM stocks are in transit.</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</si>
</sst>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name val="Arial"/>
      <scheme val="minor"/>
    </font>
    <font>
      <b/>
      <sz val="14.0"/>
      <color rgb="FFFFFFFF"/>
      <name val="Calibri"/>
    </font>
    <font/>
    <font>
      <i/>
      <sz val="10.0"/>
      <color rgb="FF333333"/>
      <name val="Calibri"/>
    </font>
    <font>
      <b/>
      <sz val="11.0"/>
      <color rgb="FFFFFFFF"/>
      <name val="Calibri"/>
    </font>
    <font>
      <b/>
      <sz val="11.0"/>
      <color rgb="FF1F4E79"/>
      <name val="Calibri"/>
    </font>
    <font>
      <sz val="10.0"/>
      <name val="Calibri"/>
    </font>
    <font>
      <b/>
      <sz val="10.0"/>
      <name val="Calibri"/>
    </font>
    <font>
      <b/>
      <sz val="9.0"/>
      <color rgb="FF1F4E79"/>
      <name val="Consolas"/>
    </font>
    <font>
      <sz val="11.0"/>
      <color/>
      <name val="Calibri"/>
    </font>
    <font>
      <b/>
      <sz val="13.0"/>
      <color rgb="FFFFFFFF"/>
      <name val="Calibri"/>
    </font>
  </fonts>
  <fills count="7">
    <fill>
      <patternFill patternType="none"/>
    </fill>
    <fill>
      <patternFill patternType="lightGray"/>
    </fill>
    <fill>
      <patternFill patternType="solid">
        <fgColor rgb="FF1B365D"/>
        <bgColor rgb="FF1B365D"/>
      </patternFill>
    </fill>
    <fill>
      <patternFill patternType="solid">
        <fgColor rgb="FF1F4E79"/>
        <bgColor rgb="FF1F4E79"/>
      </patternFill>
    </fill>
    <fill>
      <patternFill patternType="solid">
        <fgColor rgb="FFD9E1F2"/>
        <bgColor rgb="FFD9E1F2"/>
      </patternFill>
    </fill>
    <fill>
      <patternFill patternType="solid">
        <fgColor rgb="FFF2F5F9"/>
        <bgColor rgb="FFF2F5F9"/>
      </patternFill>
    </fill>
    <fill>
      <patternFill patternType="solid">
        <fgColor rgb="FFE9EEF4"/>
        <bgColor rgb="FFE9EEF4"/>
      </patternFill>
    </fill>
  </fills>
  <borders count="11">
    <border/>
    <border>
      <left/>
      <top/>
      <bottom/>
    </border>
    <border>
      <top/>
      <bottom/>
    </border>
    <border>
      <right/>
      <top/>
      <bottom/>
    </border>
    <border>
      <left style="thin">
        <color rgb="FFD9D9D9"/>
      </left>
      <right style="thin">
        <color rgb="FFD9D9D9"/>
      </right>
      <top style="thin">
        <color rgb="FFD9D9D9"/>
      </top>
      <bottom style="medium">
        <color rgb="FF1F4E79"/>
      </bottom>
    </border>
    <border>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medium">
        <color rgb="FF1F4E79"/>
      </top>
      <bottom style="medium">
        <color rgb="FF1F4E79"/>
      </bottom>
    </border>
    <border>
      <top style="medium">
        <color rgb="FF1F4E79"/>
      </top>
      <bottom style="medium">
        <color rgb="FF1F4E79"/>
      </bottom>
    </border>
    <border>
      <right style="thin">
        <color rgb="FFD9D9D9"/>
      </right>
      <top style="medium">
        <color rgb="FF1F4E79"/>
      </top>
      <bottom style="medium">
        <color rgb="FF1F4E79"/>
      </bottom>
    </border>
    <border>
      <left style="thin">
        <color rgb="FFD9D9D9"/>
      </left>
      <right style="thin">
        <color rgb="FFD9D9D9"/>
      </right>
      <top style="medium">
        <color rgb="FF1F4E79"/>
      </top>
      <bottom style="medium">
        <color rgb="FF1F4E79"/>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vertical="center"/>
    </xf>
    <xf borderId="4" fillId="3" fontId="4" numFmtId="0" xfId="0" applyAlignment="1" applyBorder="1" applyFill="1" applyFont="1">
      <alignment horizontal="center" shrinkToFit="0" vertical="center" wrapText="1"/>
    </xf>
    <xf borderId="5" fillId="4" fontId="5" numFmtId="0" xfId="0" applyAlignment="1" applyBorder="1" applyFill="1" applyFont="1">
      <alignment horizontal="left" vertical="center"/>
    </xf>
    <xf borderId="5" fillId="0" fontId="2" numFmtId="0" xfId="0" applyBorder="1" applyFont="1"/>
    <xf borderId="6" fillId="5" fontId="6" numFmtId="0" xfId="0" applyAlignment="1" applyBorder="1" applyFill="1" applyFont="1">
      <alignment horizontal="center" vertical="center"/>
    </xf>
    <xf borderId="6" fillId="5" fontId="6" numFmtId="0" xfId="0" applyAlignment="1" applyBorder="1" applyFill="1" applyFont="1">
      <alignment horizontal="left" vertical="center"/>
    </xf>
    <xf borderId="6" fillId="5" fontId="7" numFmtId="0" xfId="0" applyAlignment="1" applyBorder="1" applyFill="1" applyFont="1">
      <alignment horizontal="left" vertical="center"/>
    </xf>
    <xf borderId="6" fillId="5" fontId="8" numFmtId="0" xfId="0" applyAlignment="1" applyBorder="1" applyFill="1" applyFont="1">
      <alignment horizontal="left" vertical="center"/>
    </xf>
    <xf borderId="6" fillId="0" fontId="6" numFmtId="0" xfId="0" applyAlignment="1" applyBorder="1" applyFont="1">
      <alignment horizontal="center" vertical="center"/>
    </xf>
    <xf borderId="6" fillId="0" fontId="6" numFmtId="0" xfId="0" applyAlignment="1" applyBorder="1" applyFont="1">
      <alignment horizontal="left" vertical="center"/>
    </xf>
    <xf borderId="6" fillId="0" fontId="7" numFmtId="0" xfId="0" applyAlignment="1" applyBorder="1" applyFont="1">
      <alignment horizontal="left" vertical="center"/>
    </xf>
    <xf borderId="6" fillId="0" fontId="8" numFmtId="0" xfId="0" applyAlignment="1" applyBorder="1" applyFont="1">
      <alignment horizontal="left" vertical="center"/>
    </xf>
    <xf borderId="7" fillId="6" fontId="5" numFmtId="0" xfId="0" applyAlignment="1" applyBorder="1" applyFill="1" applyFont="1">
      <alignment horizontal="right" vertical="center"/>
    </xf>
    <xf borderId="8" fillId="0" fontId="2" numFmtId="0" xfId="0" applyBorder="1" applyFont="1"/>
    <xf borderId="9" fillId="0" fontId="2" numFmtId="0" xfId="0" applyBorder="1" applyFont="1"/>
    <xf borderId="10" fillId="6" fontId="5" numFmtId="0" xfId="0" applyAlignment="1" applyBorder="1" applyFill="1" applyFont="1">
      <alignment horizontal="center" vertical="center"/>
    </xf>
    <xf borderId="10" fillId="6" fontId="9" numFmtId="0" xfId="0" applyBorder="1" applyFill="1" applyFont="1"/>
    <xf borderId="1" fillId="3" fontId="10" numFmtId="0" xfId="0" applyAlignment="1" applyBorder="1" applyFill="1" applyFont="1">
      <alignment horizontal="center" vertical="center"/>
    </xf>
    <xf borderId="0" fillId="0" fontId="5" numFmtId="0" xfId="0" applyFont="1"/>
    <xf borderId="0" fillId="0" fontId="7" numFmtId="0" xfId="0" applyAlignment="1" applyFont="1">
      <alignment vertical="top"/>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30.0"/>
    <col customWidth="1" min="3" max="3" width="34.0"/>
    <col customWidth="1" min="4" max="4" width="28.0"/>
    <col customWidth="1" min="5" max="5" width="44.0"/>
    <col customWidth="1" min="6" max="6" width="12.0"/>
    <col customWidth="1" min="7" max="7" width="24.0"/>
    <col customWidth="1" min="8" max="11" width="8.71"/>
  </cols>
  <sheetData>
    <row r="1" ht="39.75" customHeight="1">
      <c r="A1" s="1" t="s">
        <v>0</v>
      </c>
      <c r="B1" s="2"/>
      <c r="C1" s="2"/>
      <c r="D1" s="2"/>
      <c r="E1" s="2"/>
      <c r="F1" s="2"/>
      <c r="G1" s="3"/>
    </row>
    <row r="2" ht="19.5" customHeight="1">
      <c r="A2" s="4" t="s">
        <v>1</v>
      </c>
    </row>
    <row r="4" ht="27.75" customHeight="1">
      <c r="A4" s="5" t="s">
        <v>2</v>
      </c>
      <c r="B4" s="5" t="s">
        <v>3</v>
      </c>
      <c r="C4" s="5" t="s">
        <v>4</v>
      </c>
      <c r="D4" s="5" t="s">
        <v>5</v>
      </c>
      <c r="E4" s="5" t="s">
        <v>6</v>
      </c>
      <c r="F4" s="5" t="s">
        <v>7</v>
      </c>
      <c r="G4" s="5" t="s">
        <v>8</v>
      </c>
    </row>
    <row r="5" ht="24.0" customHeight="1">
      <c r="A5" s="6" t="s">
        <v>9</v>
      </c>
      <c r="B5" s="7"/>
      <c r="C5" s="7"/>
      <c r="D5" s="7"/>
      <c r="E5" s="7"/>
      <c r="F5" s="7"/>
      <c r="G5" s="7"/>
    </row>
    <row r="6" ht="21.0" customHeight="1">
      <c r="A6" s="8" t="s">
        <v>10</v>
      </c>
      <c r="B6" s="9" t="s">
        <v>9</v>
      </c>
      <c r="C6" s="10" t="s">
        <v>11</v>
      </c>
      <c r="D6" s="11" t="s">
        <v>12</v>
      </c>
      <c r="E6" s="9" t="s">
        <v>13</v>
      </c>
      <c r="F6" s="8">
        <v>2.0</v>
      </c>
      <c r="G6" s="8" t="s">
        <v>14</v>
      </c>
    </row>
    <row r="7" ht="21.0" customHeight="1">
      <c r="A7" s="12" t="s">
        <v>15</v>
      </c>
      <c r="B7" s="13" t="s">
        <v>9</v>
      </c>
      <c r="C7" s="14" t="s">
        <v>16</v>
      </c>
      <c r="D7" s="15" t="s">
        <v>17</v>
      </c>
      <c r="E7" s="13" t="s">
        <v>18</v>
      </c>
      <c r="F7" s="12">
        <v>2.0</v>
      </c>
      <c r="G7" s="12" t="s">
        <v>19</v>
      </c>
    </row>
    <row r="8" ht="21.0" customHeight="1">
      <c r="A8" s="8" t="s">
        <v>20</v>
      </c>
      <c r="B8" s="9" t="s">
        <v>9</v>
      </c>
      <c r="C8" s="10" t="s">
        <v>21</v>
      </c>
      <c r="D8" s="11" t="s">
        <v>22</v>
      </c>
      <c r="E8" s="9" t="s">
        <v>23</v>
      </c>
      <c r="F8" s="8">
        <v>2.0</v>
      </c>
      <c r="G8" s="8" t="s">
        <v>14</v>
      </c>
    </row>
    <row r="9" ht="21.0" customHeight="1">
      <c r="A9" s="12" t="s">
        <v>24</v>
      </c>
      <c r="B9" s="13" t="s">
        <v>9</v>
      </c>
      <c r="C9" s="14" t="s">
        <v>25</v>
      </c>
      <c r="D9" s="15" t="s">
        <v>26</v>
      </c>
      <c r="E9" s="13" t="s">
        <v>27</v>
      </c>
      <c r="F9" s="12">
        <v>1.0</v>
      </c>
      <c r="G9" s="12" t="s">
        <v>28</v>
      </c>
    </row>
    <row r="10" ht="21.0" customHeight="1">
      <c r="A10" s="8" t="s">
        <v>29</v>
      </c>
      <c r="B10" s="9" t="s">
        <v>9</v>
      </c>
      <c r="C10" s="10" t="s">
        <v>30</v>
      </c>
      <c r="D10" s="11" t="s">
        <v>31</v>
      </c>
      <c r="E10" s="9" t="s">
        <v>32</v>
      </c>
      <c r="F10" s="8">
        <v>1.0</v>
      </c>
      <c r="G10" s="8" t="s">
        <v>33</v>
      </c>
    </row>
    <row r="11" ht="24.0" customHeight="1">
      <c r="A11" s="6" t="s">
        <v>34</v>
      </c>
      <c r="B11" s="7"/>
      <c r="C11" s="7"/>
      <c r="D11" s="7"/>
      <c r="E11" s="7"/>
      <c r="F11" s="7"/>
      <c r="G11" s="7"/>
    </row>
    <row r="12" ht="21.0" customHeight="1">
      <c r="A12" s="8" t="s">
        <v>35</v>
      </c>
      <c r="B12" s="9" t="s">
        <v>36</v>
      </c>
      <c r="C12" s="10" t="s">
        <v>37</v>
      </c>
      <c r="D12" s="11" t="s">
        <v>38</v>
      </c>
      <c r="E12" s="9" t="s">
        <v>39</v>
      </c>
      <c r="F12" s="8">
        <v>1.0</v>
      </c>
      <c r="G12" s="8" t="s">
        <v>40</v>
      </c>
    </row>
    <row r="13" ht="21.0" customHeight="1">
      <c r="A13" s="12" t="s">
        <v>41</v>
      </c>
      <c r="B13" s="13" t="s">
        <v>36</v>
      </c>
      <c r="C13" s="14" t="s">
        <v>42</v>
      </c>
      <c r="D13" s="15" t="s">
        <v>43</v>
      </c>
      <c r="E13" s="13" t="s">
        <v>44</v>
      </c>
      <c r="F13" s="12">
        <v>1.0</v>
      </c>
      <c r="G13" s="12" t="s">
        <v>45</v>
      </c>
    </row>
    <row r="14" ht="21.0" customHeight="1">
      <c r="A14" s="8" t="s">
        <v>46</v>
      </c>
      <c r="B14" s="9" t="s">
        <v>36</v>
      </c>
      <c r="C14" s="10" t="s">
        <v>47</v>
      </c>
      <c r="D14" s="11" t="s">
        <v>48</v>
      </c>
      <c r="E14" s="9" t="s">
        <v>49</v>
      </c>
      <c r="F14" s="8">
        <v>1.0</v>
      </c>
      <c r="G14" s="8" t="s">
        <v>45</v>
      </c>
    </row>
    <row r="15" ht="21.0" customHeight="1">
      <c r="A15" s="12" t="s">
        <v>50</v>
      </c>
      <c r="B15" s="13" t="s">
        <v>36</v>
      </c>
      <c r="C15" s="14" t="s">
        <v>51</v>
      </c>
      <c r="D15" s="15" t="s">
        <v>52</v>
      </c>
      <c r="E15" s="13" t="s">
        <v>53</v>
      </c>
      <c r="F15" s="12">
        <v>1.0</v>
      </c>
      <c r="G15" s="12" t="s">
        <v>45</v>
      </c>
    </row>
    <row r="16" ht="21.0" customHeight="1">
      <c r="A16" s="8" t="s">
        <v>54</v>
      </c>
      <c r="B16" s="9" t="s">
        <v>36</v>
      </c>
      <c r="C16" s="10" t="s">
        <v>55</v>
      </c>
      <c r="D16" s="11" t="s">
        <v>56</v>
      </c>
      <c r="E16" s="9" t="s">
        <v>57</v>
      </c>
      <c r="F16" s="8">
        <v>2.0</v>
      </c>
      <c r="G16" s="8" t="s">
        <v>58</v>
      </c>
    </row>
    <row r="17" ht="21.0" customHeight="1">
      <c r="A17" s="12" t="s">
        <v>59</v>
      </c>
      <c r="B17" s="13" t="s">
        <v>36</v>
      </c>
      <c r="C17" s="14" t="s">
        <v>60</v>
      </c>
      <c r="D17" s="15" t="s">
        <v>61</v>
      </c>
      <c r="E17" s="13" t="s">
        <v>62</v>
      </c>
      <c r="F17" s="12">
        <v>2.0</v>
      </c>
      <c r="G17" s="12" t="s">
        <v>58</v>
      </c>
    </row>
    <row r="18" ht="21.0" customHeight="1">
      <c r="A18" s="8" t="s">
        <v>63</v>
      </c>
      <c r="B18" s="9" t="s">
        <v>36</v>
      </c>
      <c r="C18" s="10" t="s">
        <v>64</v>
      </c>
      <c r="D18" s="11" t="s">
        <v>65</v>
      </c>
      <c r="E18" s="9" t="s">
        <v>66</v>
      </c>
      <c r="F18" s="8">
        <v>1.0</v>
      </c>
      <c r="G18" s="8" t="s">
        <v>67</v>
      </c>
    </row>
    <row r="19" ht="21.0" customHeight="1">
      <c r="A19" s="12" t="s">
        <v>68</v>
      </c>
      <c r="B19" s="13" t="s">
        <v>36</v>
      </c>
      <c r="C19" s="14" t="s">
        <v>69</v>
      </c>
      <c r="D19" s="15" t="s">
        <v>70</v>
      </c>
      <c r="E19" s="13" t="s">
        <v>71</v>
      </c>
      <c r="F19" s="12">
        <v>1.0</v>
      </c>
      <c r="G19" s="12" t="s">
        <v>67</v>
      </c>
    </row>
    <row r="20" ht="21.0" customHeight="1">
      <c r="A20" s="8" t="s">
        <v>72</v>
      </c>
      <c r="B20" s="9" t="s">
        <v>36</v>
      </c>
      <c r="C20" s="10" t="s">
        <v>73</v>
      </c>
      <c r="D20" s="11" t="s">
        <v>74</v>
      </c>
      <c r="E20" s="9" t="s">
        <v>75</v>
      </c>
      <c r="F20" s="8">
        <v>1.0</v>
      </c>
      <c r="G20" s="8" t="s">
        <v>76</v>
      </c>
    </row>
    <row r="21" ht="24.0" customHeight="1">
      <c r="A21" s="6" t="s">
        <v>77</v>
      </c>
      <c r="B21" s="7"/>
      <c r="C21" s="7"/>
      <c r="D21" s="7"/>
      <c r="E21" s="7"/>
      <c r="F21" s="7"/>
      <c r="G21" s="7"/>
    </row>
    <row r="22" ht="21.0" customHeight="1">
      <c r="A22" s="8" t="s">
        <v>78</v>
      </c>
      <c r="B22" s="9" t="s">
        <v>77</v>
      </c>
      <c r="C22" s="10" t="s">
        <v>79</v>
      </c>
      <c r="D22" s="11" t="s">
        <v>80</v>
      </c>
      <c r="E22" s="9" t="s">
        <v>81</v>
      </c>
      <c r="F22" s="8">
        <v>1.0</v>
      </c>
      <c r="G22" s="8" t="s">
        <v>82</v>
      </c>
    </row>
    <row r="23" ht="21.0" customHeight="1">
      <c r="A23" s="12" t="s">
        <v>83</v>
      </c>
      <c r="B23" s="13" t="s">
        <v>77</v>
      </c>
      <c r="C23" s="14" t="s">
        <v>84</v>
      </c>
      <c r="D23" s="15" t="s">
        <v>85</v>
      </c>
      <c r="E23" s="13" t="s">
        <v>86</v>
      </c>
      <c r="F23" s="12">
        <v>2.0</v>
      </c>
      <c r="G23" s="12" t="s">
        <v>87</v>
      </c>
    </row>
    <row r="24" ht="21.0" customHeight="1">
      <c r="A24" s="8" t="s">
        <v>88</v>
      </c>
      <c r="B24" s="9" t="s">
        <v>77</v>
      </c>
      <c r="C24" s="10" t="s">
        <v>89</v>
      </c>
      <c r="D24" s="11" t="s">
        <v>90</v>
      </c>
      <c r="E24" s="9" t="s">
        <v>91</v>
      </c>
      <c r="F24" s="8">
        <v>1.0</v>
      </c>
      <c r="G24" s="8" t="s">
        <v>92</v>
      </c>
    </row>
    <row r="25" ht="21.0" customHeight="1">
      <c r="A25" s="12" t="s">
        <v>93</v>
      </c>
      <c r="B25" s="13" t="s">
        <v>77</v>
      </c>
      <c r="C25" s="14" t="s">
        <v>94</v>
      </c>
      <c r="D25" s="15" t="s">
        <v>95</v>
      </c>
      <c r="E25" s="13" t="s">
        <v>96</v>
      </c>
      <c r="F25" s="12">
        <v>1.0</v>
      </c>
      <c r="G25" s="12" t="s">
        <v>92</v>
      </c>
    </row>
    <row r="26" ht="21.0" customHeight="1">
      <c r="A26" s="8" t="s">
        <v>97</v>
      </c>
      <c r="B26" s="9" t="s">
        <v>77</v>
      </c>
      <c r="C26" s="10" t="s">
        <v>98</v>
      </c>
      <c r="D26" s="11" t="s">
        <v>99</v>
      </c>
      <c r="E26" s="9" t="s">
        <v>100</v>
      </c>
      <c r="F26" s="8">
        <v>5.0</v>
      </c>
      <c r="G26" s="8" t="s">
        <v>101</v>
      </c>
    </row>
    <row r="27" ht="21.0" customHeight="1">
      <c r="A27" s="12" t="s">
        <v>102</v>
      </c>
      <c r="B27" s="13" t="s">
        <v>77</v>
      </c>
      <c r="C27" s="14" t="s">
        <v>103</v>
      </c>
      <c r="D27" s="15" t="s">
        <v>104</v>
      </c>
      <c r="E27" s="13" t="s">
        <v>105</v>
      </c>
      <c r="F27" s="12">
        <v>1.0</v>
      </c>
      <c r="G27" s="12" t="s">
        <v>106</v>
      </c>
    </row>
    <row r="28" ht="24.0" customHeight="1">
      <c r="A28" s="6" t="s">
        <v>107</v>
      </c>
      <c r="B28" s="7"/>
      <c r="C28" s="7"/>
      <c r="D28" s="7"/>
      <c r="E28" s="7"/>
      <c r="F28" s="7"/>
      <c r="G28" s="7"/>
    </row>
    <row r="29" ht="21.0" customHeight="1">
      <c r="A29" s="12" t="s">
        <v>108</v>
      </c>
      <c r="B29" s="13" t="s">
        <v>107</v>
      </c>
      <c r="C29" s="14" t="s">
        <v>109</v>
      </c>
      <c r="D29" s="15" t="s">
        <v>110</v>
      </c>
      <c r="E29" s="13" t="s">
        <v>111</v>
      </c>
      <c r="F29" s="12">
        <v>2.0</v>
      </c>
      <c r="G29" s="12" t="s">
        <v>87</v>
      </c>
    </row>
    <row r="30" ht="21.0" customHeight="1">
      <c r="A30" s="8" t="s">
        <v>112</v>
      </c>
      <c r="B30" s="9" t="s">
        <v>107</v>
      </c>
      <c r="C30" s="10" t="s">
        <v>113</v>
      </c>
      <c r="D30" s="11" t="s">
        <v>114</v>
      </c>
      <c r="E30" s="9" t="s">
        <v>115</v>
      </c>
      <c r="F30" s="8">
        <v>8.0</v>
      </c>
      <c r="G30" s="8" t="s">
        <v>19</v>
      </c>
    </row>
    <row r="31" ht="21.0" customHeight="1">
      <c r="A31" s="12" t="s">
        <v>116</v>
      </c>
      <c r="B31" s="13" t="s">
        <v>107</v>
      </c>
      <c r="C31" s="14" t="s">
        <v>117</v>
      </c>
      <c r="D31" s="15" t="s">
        <v>118</v>
      </c>
      <c r="E31" s="13" t="s">
        <v>119</v>
      </c>
      <c r="F31" s="12">
        <v>2.0</v>
      </c>
      <c r="G31" s="12" t="s">
        <v>120</v>
      </c>
    </row>
    <row r="32" ht="21.0" customHeight="1">
      <c r="A32" s="8" t="s">
        <v>121</v>
      </c>
      <c r="B32" s="9" t="s">
        <v>107</v>
      </c>
      <c r="C32" s="10" t="s">
        <v>122</v>
      </c>
      <c r="D32" s="11" t="s">
        <v>123</v>
      </c>
      <c r="E32" s="9" t="s">
        <v>124</v>
      </c>
      <c r="F32" s="8">
        <v>1.0</v>
      </c>
      <c r="G32" s="8" t="s">
        <v>120</v>
      </c>
    </row>
    <row r="33" ht="21.0" customHeight="1">
      <c r="A33" s="12" t="s">
        <v>125</v>
      </c>
      <c r="B33" s="13" t="s">
        <v>107</v>
      </c>
      <c r="C33" s="14" t="s">
        <v>126</v>
      </c>
      <c r="D33" s="15" t="s">
        <v>127</v>
      </c>
      <c r="E33" s="13" t="s">
        <v>128</v>
      </c>
      <c r="F33" s="12">
        <v>1.0</v>
      </c>
      <c r="G33" s="12" t="s">
        <v>129</v>
      </c>
    </row>
    <row r="34" ht="24.75" customHeight="1">
      <c r="A34" s="16" t="s">
        <v>130</v>
      </c>
      <c r="B34" s="17"/>
      <c r="C34" s="17"/>
      <c r="D34" s="17"/>
      <c r="E34" s="18"/>
      <c r="F34" s="19" t="str">
        <f>SUM(F5:F33)</f>
        <v>44</v>
      </c>
      <c r="G34" s="20"/>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7">
    <mergeCell ref="A34:E34"/>
    <mergeCell ref="A1:G1"/>
    <mergeCell ref="A21:G21"/>
    <mergeCell ref="A2:G2"/>
    <mergeCell ref="A28:G28"/>
    <mergeCell ref="A11:G11"/>
    <mergeCell ref="A5:G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5" width="25.0"/>
    <col customWidth="1" min="6" max="11" width="8.71"/>
  </cols>
  <sheetData>
    <row r="1" ht="34.5" customHeight="1">
      <c r="A1" s="21" t="s">
        <v>131</v>
      </c>
      <c r="B1" s="2"/>
      <c r="C1" s="2"/>
      <c r="D1" s="2"/>
      <c r="E1" s="3"/>
    </row>
    <row r="3">
      <c r="A3" s="22" t="s">
        <v>132</v>
      </c>
    </row>
    <row r="4" ht="36.0" customHeight="1">
      <c r="A4" s="23" t="s">
        <v>133</v>
      </c>
      <c r="B4" s="24" t="s">
        <v>134</v>
      </c>
    </row>
    <row r="5" ht="36.0" customHeight="1">
      <c r="A5" s="23" t="s">
        <v>135</v>
      </c>
      <c r="B5" s="24" t="s">
        <v>136</v>
      </c>
    </row>
    <row r="6" ht="36.0" customHeight="1">
      <c r="A6" s="23" t="s">
        <v>137</v>
      </c>
      <c r="B6" s="24" t="s">
        <v>138</v>
      </c>
    </row>
    <row r="7" ht="36.0" customHeight="1">
      <c r="A7" s="23" t="s">
        <v>139</v>
      </c>
      <c r="B7" s="24" t="s">
        <v>140</v>
      </c>
    </row>
    <row r="8" ht="36.0" customHeight="1">
      <c r="A8" s="23" t="s">
        <v>141</v>
      </c>
      <c r="B8" s="24" t="s">
        <v>142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
    <mergeCell ref="B8:E8"/>
    <mergeCell ref="B4:E4"/>
    <mergeCell ref="B6:E6"/>
    <mergeCell ref="B7:E7"/>
    <mergeCell ref="A1:E1"/>
    <mergeCell ref="B5:E5"/>
  </mergeCells>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2026-10-12T06:25:20Z</dcterms:created>
  <dc:creator>openpyxl</dc:creator>
  <dcterms:modified xsi:type="dcterms:W3CDTF">2026-10-12T06:25:20Z</dcterms:modified>
</cp:coreProperties>
</file>