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 5050D Spares Catalog" sheetId="1" state="visible" r:id="rId1"/>
    <sheet xmlns:r="http://schemas.openxmlformats.org/officeDocument/2006/relationships" name="Service Schedule &amp; Capa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b val="1"/>
      <color rgb="0023561B"/>
      <sz val="11"/>
    </font>
    <font>
      <name val="Calibri"/>
      <sz val="10"/>
    </font>
    <font>
      <name val="Calibri"/>
      <b val="1"/>
      <sz val="10"/>
    </font>
    <font>
      <name val="Consolas"/>
      <b val="1"/>
      <color rgb="0023561B"/>
      <sz val="9"/>
    </font>
  </fonts>
  <fills count="7">
    <fill>
      <patternFill/>
    </fill>
    <fill>
      <patternFill patternType="gray125"/>
    </fill>
    <fill>
      <patternFill patternType="solid">
        <fgColor rgb="0023561B"/>
        <bgColor rgb="0023561B"/>
      </patternFill>
    </fill>
    <fill>
      <patternFill patternType="solid">
        <fgColor rgb="00367C2B"/>
        <bgColor rgb="00367C2B"/>
      </patternFill>
    </fill>
    <fill>
      <patternFill patternType="solid">
        <fgColor rgb="00E2F0D9"/>
        <bgColor rgb="00E2F0D9"/>
      </patternFill>
    </fill>
    <fill>
      <patternFill patternType="solid">
        <fgColor rgb="00F4F9F1"/>
        <bgColor rgb="00F4F9F1"/>
      </patternFill>
    </fill>
    <fill>
      <patternFill patternType="solid">
        <fgColor rgb="00EAF2E8"/>
        <bgColor rgb="00EAF2E8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367C2B"/>
      </bottom>
    </border>
    <border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367C2B"/>
      </top>
      <bottom style="medium">
        <color rgb="00367C2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4" fillId="6" borderId="4" applyAlignment="1" pivotButton="0" quotePrefix="0" xfId="0">
      <alignment horizontal="right" vertical="center"/>
    </xf>
    <xf numFmtId="0" fontId="0" fillId="0" borderId="4" pivotButton="0" quotePrefix="0" xfId="0"/>
    <xf numFmtId="0" fontId="4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1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6" fillId="0" borderId="3" pivotButton="0" quotePrefix="0" xfId="0"/>
    <xf numFmtId="0" fontId="5" fillId="0" borderId="3" pivotButton="0" quotePrefix="0" xfId="0"/>
    <xf numFmtId="0" fontId="6" fillId="5" borderId="3" pivotButton="0" quotePrefix="0" xfId="0"/>
    <xf numFmtId="0" fontId="5" fillId="5" borderId="3" pivotButton="0" quotePrefix="0" xfId="0"/>
    <xf numFmtId="0" fontId="6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28" customWidth="1" min="4" max="4"/>
    <col width="48" customWidth="1" min="5" max="5"/>
    <col width="12" customWidth="1" min="6" max="6"/>
    <col width="24" customWidth="1" min="7" max="7"/>
  </cols>
  <sheetData>
    <row r="1" ht="40" customHeight="1">
      <c r="A1" s="1" t="inlineStr">
        <is>
          <t>JOHN DEERE 5050D TRACTOR (50 HP D-SERIES) - SPARE PARTS CATALOG &amp; INDENT BOM</t>
        </is>
      </c>
    </row>
    <row r="2" ht="20" customHeight="1">
      <c r="A2" s="2" t="inlineStr">
        <is>
          <t>3-Cylinder 2.9L Turbocharged Engine | Collarshift Transmission | Oil Immersed Brakes (OIB)</t>
        </is>
      </c>
    </row>
    <row r="4" ht="28" customHeight="1">
      <c r="A4" s="3" t="inlineStr">
        <is>
          <t>Item No.</t>
        </is>
      </c>
      <c r="B4" s="3" t="inlineStr">
        <is>
          <t>Assembly Group</t>
        </is>
      </c>
      <c r="C4" s="3" t="inlineStr">
        <is>
          <t>Part / Component Description</t>
        </is>
      </c>
      <c r="D4" s="3" t="inlineStr">
        <is>
          <t>John Deere OEM Part No.</t>
        </is>
      </c>
      <c r="E4" s="3" t="inlineStr">
        <is>
          <t>Technical Specification / Standards</t>
        </is>
      </c>
      <c r="F4" s="3" t="inlineStr">
        <is>
          <t>Qty / Unit</t>
        </is>
      </c>
      <c r="G4" s="3" t="inlineStr">
        <is>
          <t>Maintenance Category</t>
        </is>
      </c>
    </row>
    <row r="5" ht="24" customHeight="1">
      <c r="A5" s="4" t="inlineStr">
        <is>
          <t>Engine Powerhead &amp; Cooling System (3029D / 2.9L 3-Cyl)</t>
        </is>
      </c>
      <c r="B5" s="5" t="n"/>
      <c r="C5" s="5" t="n"/>
      <c r="D5" s="5" t="n"/>
      <c r="E5" s="5" t="n"/>
      <c r="F5" s="5" t="n"/>
      <c r="G5" s="5" t="n"/>
    </row>
    <row r="6" ht="21" customHeight="1">
      <c r="A6" s="6" t="inlineStr">
        <is>
          <t>1.01</t>
        </is>
      </c>
      <c r="B6" s="7" t="inlineStr">
        <is>
          <t>Engine Powerhead &amp; Cooling System</t>
        </is>
      </c>
      <c r="C6" s="8" t="inlineStr">
        <is>
          <t>Engine Oil Filter Element (Spin-On)</t>
        </is>
      </c>
      <c r="D6" s="9" t="inlineStr">
        <is>
          <t>RE505183 / RE519643</t>
        </is>
      </c>
      <c r="E6" s="7" t="inlineStr">
        <is>
          <t>High-capacity spin-on lube oil filter cartridge, M20x1.5</t>
        </is>
      </c>
      <c r="F6" s="6" t="n">
        <v>1</v>
      </c>
      <c r="G6" s="6" t="inlineStr">
        <is>
          <t>Routine Consumable</t>
        </is>
      </c>
    </row>
    <row r="7" ht="21" customHeight="1">
      <c r="A7" s="10" t="inlineStr">
        <is>
          <t>1.02</t>
        </is>
      </c>
      <c r="B7" s="11" t="inlineStr">
        <is>
          <t>Engine Powerhead &amp; Cooling System</t>
        </is>
      </c>
      <c r="C7" s="12" t="inlineStr">
        <is>
          <t>Primary Fuel Filter / Water Separator</t>
        </is>
      </c>
      <c r="D7" s="13" t="inlineStr">
        <is>
          <t>RE529643 / RE60021</t>
        </is>
      </c>
      <c r="E7" s="11" t="inlineStr">
        <is>
          <t>Spin-on cartridge with clear bottom drain bowl, 30-micron</t>
        </is>
      </c>
      <c r="F7" s="10" t="n">
        <v>1</v>
      </c>
      <c r="G7" s="10" t="inlineStr">
        <is>
          <t>Routine Consumable</t>
        </is>
      </c>
    </row>
    <row r="8" ht="21" customHeight="1">
      <c r="A8" s="6" t="inlineStr">
        <is>
          <t>1.03</t>
        </is>
      </c>
      <c r="B8" s="7" t="inlineStr">
        <is>
          <t>Engine Powerhead &amp; Cooling System</t>
        </is>
      </c>
      <c r="C8" s="8" t="inlineStr">
        <is>
          <t>Secondary Final Fuel Filter</t>
        </is>
      </c>
      <c r="D8" s="9" t="inlineStr">
        <is>
          <t>RE522878 / RE526834</t>
        </is>
      </c>
      <c r="E8" s="7" t="inlineStr">
        <is>
          <t>High-efficiency micro-glass final filter, 2-micron</t>
        </is>
      </c>
      <c r="F8" s="6" t="n">
        <v>1</v>
      </c>
      <c r="G8" s="6" t="inlineStr">
        <is>
          <t>Routine Consumable</t>
        </is>
      </c>
    </row>
    <row r="9" ht="21" customHeight="1">
      <c r="A9" s="10" t="inlineStr">
        <is>
          <t>1.04</t>
        </is>
      </c>
      <c r="B9" s="11" t="inlineStr">
        <is>
          <t>Engine Powerhead &amp; Cooling System</t>
        </is>
      </c>
      <c r="C9" s="12" t="inlineStr">
        <is>
          <t>Primary Air Cleaner Filter (Outer)</t>
        </is>
      </c>
      <c r="D9" s="13" t="inlineStr">
        <is>
          <t>RE68048 / RE68049</t>
        </is>
      </c>
      <c r="E9" s="11" t="inlineStr">
        <is>
          <t>RadialSeal heavy-duty pleated dry paper air filter element</t>
        </is>
      </c>
      <c r="F9" s="10" t="n">
        <v>1</v>
      </c>
      <c r="G9" s="10" t="inlineStr">
        <is>
          <t>Routine Consumable</t>
        </is>
      </c>
    </row>
    <row r="10" ht="21" customHeight="1">
      <c r="A10" s="6" t="inlineStr">
        <is>
          <t>1.05</t>
        </is>
      </c>
      <c r="B10" s="7" t="inlineStr">
        <is>
          <t>Engine Powerhead &amp; Cooling System</t>
        </is>
      </c>
      <c r="C10" s="8" t="inlineStr">
        <is>
          <t>Secondary Air Cleaner Safety Filter (Inner)</t>
        </is>
      </c>
      <c r="D10" s="9" t="inlineStr">
        <is>
          <t>RE68049 / AT171854</t>
        </is>
      </c>
      <c r="E10" s="7" t="inlineStr">
        <is>
          <t>Inner safety element preventing dust bypass during service</t>
        </is>
      </c>
      <c r="F10" s="6" t="n">
        <v>1</v>
      </c>
      <c r="G10" s="6" t="inlineStr">
        <is>
          <t>Secondary Filter</t>
        </is>
      </c>
    </row>
    <row r="11" ht="21" customHeight="1">
      <c r="A11" s="10" t="inlineStr">
        <is>
          <t>1.06</t>
        </is>
      </c>
      <c r="B11" s="11" t="inlineStr">
        <is>
          <t>Engine Powerhead &amp; Cooling System</t>
        </is>
      </c>
      <c r="C11" s="12" t="inlineStr">
        <is>
          <t>Cooling Fan Poly-V Serpentine Belt</t>
        </is>
      </c>
      <c r="D11" s="13" t="inlineStr">
        <is>
          <t>R135589 / R503380</t>
        </is>
      </c>
      <c r="E11" s="11" t="inlineStr">
        <is>
          <t>Multi-ribbed heavy-duty EPDM serpentine drive belt</t>
        </is>
      </c>
      <c r="F11" s="10" t="n">
        <v>1</v>
      </c>
      <c r="G11" s="10" t="inlineStr">
        <is>
          <t>Drive Belt / Wear</t>
        </is>
      </c>
    </row>
    <row r="12" ht="21" customHeight="1">
      <c r="A12" s="6" t="inlineStr">
        <is>
          <t>1.07</t>
        </is>
      </c>
      <c r="B12" s="7" t="inlineStr">
        <is>
          <t>Engine Powerhead &amp; Cooling System</t>
        </is>
      </c>
      <c r="C12" s="8" t="inlineStr">
        <is>
          <t>Engine Water Pump Assembly</t>
        </is>
      </c>
      <c r="D12" s="9" t="inlineStr">
        <is>
          <t>RE545937 / RE505980</t>
        </is>
      </c>
      <c r="E12" s="7" t="inlineStr">
        <is>
          <t>Centrifugal coolant pump with integrated pulley hub</t>
        </is>
      </c>
      <c r="F12" s="6" t="n">
        <v>1</v>
      </c>
      <c r="G12" s="6" t="inlineStr">
        <is>
          <t>Cooling Sub-Assembly</t>
        </is>
      </c>
    </row>
    <row r="13" ht="21" customHeight="1">
      <c r="A13" s="10" t="inlineStr">
        <is>
          <t>1.08</t>
        </is>
      </c>
      <c r="B13" s="11" t="inlineStr">
        <is>
          <t>Engine Powerhead &amp; Cooling System</t>
        </is>
      </c>
      <c r="C13" s="12" t="inlineStr">
        <is>
          <t>Engine Thermostat Valve (82°C / 180°F)</t>
        </is>
      </c>
      <c r="D13" s="13" t="inlineStr">
        <is>
          <t>RE54054 / RE33705</t>
        </is>
      </c>
      <c r="E13" s="11" t="inlineStr">
        <is>
          <t>Bypass wax-pellet thermostat with molded sealing ring</t>
        </is>
      </c>
      <c r="F13" s="10" t="n">
        <v>1</v>
      </c>
      <c r="G13" s="10" t="inlineStr">
        <is>
          <t>Cooling System</t>
        </is>
      </c>
    </row>
    <row r="14" ht="21" customHeight="1">
      <c r="A14" s="6" t="inlineStr">
        <is>
          <t>1.09</t>
        </is>
      </c>
      <c r="B14" s="7" t="inlineStr">
        <is>
          <t>Engine Powerhead &amp; Cooling System</t>
        </is>
      </c>
      <c r="C14" s="8" t="inlineStr">
        <is>
          <t>Cylinder Head Gasket (3029 Engine)</t>
        </is>
      </c>
      <c r="D14" s="9" t="inlineStr">
        <is>
          <t>R527884 / R501440</t>
        </is>
      </c>
      <c r="E14" s="7" t="inlineStr">
        <is>
          <t>Multi-layer steel (MLS) high-pressure cylinder head gasket</t>
        </is>
      </c>
      <c r="F14" s="6" t="n">
        <v>1</v>
      </c>
      <c r="G14" s="6" t="inlineStr">
        <is>
          <t>Engine Overhaul</t>
        </is>
      </c>
    </row>
    <row r="15" ht="24" customHeight="1">
      <c r="A15" s="4" t="inlineStr">
        <is>
          <t>Clutch, Transmission &amp; Rear Axle (8F+4R Collarshift)</t>
        </is>
      </c>
      <c r="B15" s="5" t="n"/>
      <c r="C15" s="5" t="n"/>
      <c r="D15" s="5" t="n"/>
      <c r="E15" s="5" t="n"/>
      <c r="F15" s="5" t="n"/>
      <c r="G15" s="5" t="n"/>
    </row>
    <row r="16" ht="21" customHeight="1">
      <c r="A16" s="6" t="inlineStr">
        <is>
          <t>2.01</t>
        </is>
      </c>
      <c r="B16" s="7" t="inlineStr">
        <is>
          <t>Clutch, Transmission &amp; Rear Axle</t>
        </is>
      </c>
      <c r="C16" s="8" t="inlineStr">
        <is>
          <t>Dual Clutch Assembly (Transmission + PTO)</t>
        </is>
      </c>
      <c r="D16" s="9" t="inlineStr">
        <is>
          <t>RE226390 / RE72535</t>
        </is>
      </c>
      <c r="E16" s="7" t="inlineStr">
        <is>
          <t>Heavy-duty dual dry clutch with independent PTO drive disc</t>
        </is>
      </c>
      <c r="F16" s="6" t="n">
        <v>1</v>
      </c>
      <c r="G16" s="6" t="inlineStr">
        <is>
          <t>Clutch Transmission</t>
        </is>
      </c>
    </row>
    <row r="17" ht="21" customHeight="1">
      <c r="A17" s="10" t="inlineStr">
        <is>
          <t>2.02</t>
        </is>
      </c>
      <c r="B17" s="11" t="inlineStr">
        <is>
          <t>Clutch, Transmission &amp; Rear Axle</t>
        </is>
      </c>
      <c r="C17" s="12" t="inlineStr">
        <is>
          <t>Transmission Clutch Driven Plate (280mm)</t>
        </is>
      </c>
      <c r="D17" s="13" t="inlineStr">
        <is>
          <t>R210817 / RE210816</t>
        </is>
      </c>
      <c r="E17" s="11" t="inlineStr">
        <is>
          <t>Cerametallic / heavy woven 11" friction disc</t>
        </is>
      </c>
      <c r="F17" s="10" t="n">
        <v>1</v>
      </c>
      <c r="G17" s="10" t="inlineStr">
        <is>
          <t>Clutch Wear</t>
        </is>
      </c>
    </row>
    <row r="18" ht="21" customHeight="1">
      <c r="A18" s="6" t="inlineStr">
        <is>
          <t>2.03</t>
        </is>
      </c>
      <c r="B18" s="7" t="inlineStr">
        <is>
          <t>Clutch, Transmission &amp; Rear Axle</t>
        </is>
      </c>
      <c r="C18" s="8" t="inlineStr">
        <is>
          <t>Clutch Release Bearing (Throw-out)</t>
        </is>
      </c>
      <c r="D18" s="9" t="inlineStr">
        <is>
          <t>RE197367 / AL120025</t>
        </is>
      </c>
      <c r="E18" s="7" t="inlineStr">
        <is>
          <t>Sealed heavy-duty angular thrust release bearing</t>
        </is>
      </c>
      <c r="F18" s="6" t="n">
        <v>1</v>
      </c>
      <c r="G18" s="6" t="inlineStr">
        <is>
          <t>Bearing Wear</t>
        </is>
      </c>
    </row>
    <row r="19" ht="21" customHeight="1">
      <c r="A19" s="10" t="inlineStr">
        <is>
          <t>2.04</t>
        </is>
      </c>
      <c r="B19" s="11" t="inlineStr">
        <is>
          <t>Clutch, Transmission &amp; Rear Axle</t>
        </is>
      </c>
      <c r="C19" s="12" t="inlineStr">
        <is>
          <t>Transmission Countershaft Bearings</t>
        </is>
      </c>
      <c r="D19" s="13" t="inlineStr">
        <is>
          <t>JD8225 / JD8933</t>
        </is>
      </c>
      <c r="E19" s="11" t="inlineStr">
        <is>
          <t>Precision taper roller bearing cone and cup set</t>
        </is>
      </c>
      <c r="F19" s="10" t="n">
        <v>2</v>
      </c>
      <c r="G19" s="10" t="inlineStr">
        <is>
          <t>Bearing / Overhaul</t>
        </is>
      </c>
    </row>
    <row r="20" ht="21" customHeight="1">
      <c r="A20" s="6" t="inlineStr">
        <is>
          <t>2.05</t>
        </is>
      </c>
      <c r="B20" s="7" t="inlineStr">
        <is>
          <t>Clutch, Transmission &amp; Rear Axle</t>
        </is>
      </c>
      <c r="C20" s="8" t="inlineStr">
        <is>
          <t>Rear Planetary Reduction Gear Pinions</t>
        </is>
      </c>
      <c r="D20" s="9" t="inlineStr">
        <is>
          <t>R153624 / R153625</t>
        </is>
      </c>
      <c r="E20" s="7" t="inlineStr">
        <is>
          <t>Planetary final drive spur gears (set of 3 per axle side)</t>
        </is>
      </c>
      <c r="F20" s="6" t="n">
        <v>6</v>
      </c>
      <c r="G20" s="6" t="inlineStr">
        <is>
          <t>Final Drive Internal</t>
        </is>
      </c>
    </row>
    <row r="21" ht="21" customHeight="1">
      <c r="A21" s="10" t="inlineStr">
        <is>
          <t>2.06</t>
        </is>
      </c>
      <c r="B21" s="11" t="inlineStr">
        <is>
          <t>Clutch, Transmission &amp; Rear Axle</t>
        </is>
      </c>
      <c r="C21" s="12" t="inlineStr">
        <is>
          <t>Rear Axle Oil Seal (Inboard / Outboard)</t>
        </is>
      </c>
      <c r="D21" s="13" t="inlineStr">
        <is>
          <t>RE249571 / SJ10237</t>
        </is>
      </c>
      <c r="E21" s="11" t="inlineStr">
        <is>
          <t>Heavy-duty cassette radial shaft double-lip oil seal</t>
        </is>
      </c>
      <c r="F21" s="10" t="n">
        <v>2</v>
      </c>
      <c r="G21" s="10" t="inlineStr">
        <is>
          <t>Preventative Seal</t>
        </is>
      </c>
    </row>
    <row r="22" ht="24" customHeight="1">
      <c r="A22" s="4" t="inlineStr">
        <is>
          <t>Hydraulics, Lift &amp; 3-Point Linkage (1600 kgf Capacity)</t>
        </is>
      </c>
      <c r="B22" s="5" t="n"/>
      <c r="C22" s="5" t="n"/>
      <c r="D22" s="5" t="n"/>
      <c r="E22" s="5" t="n"/>
      <c r="F22" s="5" t="n"/>
      <c r="G22" s="5" t="n"/>
    </row>
    <row r="23" ht="21" customHeight="1">
      <c r="A23" s="10" t="inlineStr">
        <is>
          <t>3.01</t>
        </is>
      </c>
      <c r="B23" s="11" t="inlineStr">
        <is>
          <t>Hydraulics, Lift &amp; 3-Point Linkage</t>
        </is>
      </c>
      <c r="C23" s="12" t="inlineStr">
        <is>
          <t>Hydraulic Lift Pump Assembly</t>
        </is>
      </c>
      <c r="D23" s="13" t="inlineStr">
        <is>
          <t>RE223233 / RE223234</t>
        </is>
      </c>
      <c r="E23" s="11" t="inlineStr">
        <is>
          <t>Tandem / gear pump delivering 29 LPM hydraulic flow</t>
        </is>
      </c>
      <c r="F23" s="10" t="n">
        <v>1</v>
      </c>
      <c r="G23" s="10" t="inlineStr">
        <is>
          <t>Hydraulic Power</t>
        </is>
      </c>
    </row>
    <row r="24" ht="21" customHeight="1">
      <c r="A24" s="6" t="inlineStr">
        <is>
          <t>3.02</t>
        </is>
      </c>
      <c r="B24" s="7" t="inlineStr">
        <is>
          <t>Hydraulics, Lift &amp; 3-Point Linkage</t>
        </is>
      </c>
      <c r="C24" s="8" t="inlineStr">
        <is>
          <t>Transmission &amp; Hydraulic Oil Filter</t>
        </is>
      </c>
      <c r="D24" s="9" t="inlineStr">
        <is>
          <t>RE197065 / RE45864</t>
        </is>
      </c>
      <c r="E24" s="7" t="inlineStr">
        <is>
          <t>Full flow spin-on hydraulic return filter cartridge</t>
        </is>
      </c>
      <c r="F24" s="6" t="n">
        <v>1</v>
      </c>
      <c r="G24" s="6" t="inlineStr">
        <is>
          <t>Hydraulic Consumable</t>
        </is>
      </c>
    </row>
    <row r="25" ht="21" customHeight="1">
      <c r="A25" s="10" t="inlineStr">
        <is>
          <t>3.03</t>
        </is>
      </c>
      <c r="B25" s="11" t="inlineStr">
        <is>
          <t>Hydraulics, Lift &amp; 3-Point Linkage</t>
        </is>
      </c>
      <c r="C25" s="12" t="inlineStr">
        <is>
          <t>Rockshaft Lift Cylinder Piston Seal Kit</t>
        </is>
      </c>
      <c r="D25" s="13" t="inlineStr">
        <is>
          <t>RE204878 / RE197830</t>
        </is>
      </c>
      <c r="E25" s="11" t="inlineStr">
        <is>
          <t>Heavy-duty hydraulic piston seal, wear rings &amp; O-rings</t>
        </is>
      </c>
      <c r="F25" s="10" t="n">
        <v>1</v>
      </c>
      <c r="G25" s="10" t="inlineStr">
        <is>
          <t>Hydraulic Repair Kit</t>
        </is>
      </c>
    </row>
    <row r="26" ht="21" customHeight="1">
      <c r="A26" s="6" t="inlineStr">
        <is>
          <t>3.04</t>
        </is>
      </c>
      <c r="B26" s="7" t="inlineStr">
        <is>
          <t>Hydraulics, Lift &amp; 3-Point Linkage</t>
        </is>
      </c>
      <c r="C26" s="8" t="inlineStr">
        <is>
          <t>Category-II Lower Draft Lift Arms (LH &amp; RH)</t>
        </is>
      </c>
      <c r="D26" s="9" t="inlineStr">
        <is>
          <t>RE244837 / RE244838</t>
        </is>
      </c>
      <c r="E26" s="7" t="inlineStr">
        <is>
          <t>Forged heavy-duty lower lift draft arms with ball ends</t>
        </is>
      </c>
      <c r="F26" s="6" t="n">
        <v>2</v>
      </c>
      <c r="G26" s="6" t="inlineStr">
        <is>
          <t>3-Point Linkage</t>
        </is>
      </c>
    </row>
    <row r="27" ht="21" customHeight="1">
      <c r="A27" s="10" t="inlineStr">
        <is>
          <t>3.05</t>
        </is>
      </c>
      <c r="B27" s="11" t="inlineStr">
        <is>
          <t>Hydraulics, Lift &amp; 3-Point Linkage</t>
        </is>
      </c>
      <c r="C27" s="12" t="inlineStr">
        <is>
          <t>Adjustable Lift Rod / Leveling Box Assembly</t>
        </is>
      </c>
      <c r="D27" s="13" t="inlineStr">
        <is>
          <t>RE244840</t>
        </is>
      </c>
      <c r="E27" s="11" t="inlineStr">
        <is>
          <t>Screw-type vertical leveling crank link assembly</t>
        </is>
      </c>
      <c r="F27" s="10" t="n">
        <v>1</v>
      </c>
      <c r="G27" s="10" t="inlineStr">
        <is>
          <t>3-Point Linkage</t>
        </is>
      </c>
    </row>
    <row r="28" ht="21" customHeight="1">
      <c r="A28" s="6" t="inlineStr">
        <is>
          <t>3.06</t>
        </is>
      </c>
      <c r="B28" s="7" t="inlineStr">
        <is>
          <t>Hydraulics, Lift &amp; 3-Point Linkage</t>
        </is>
      </c>
      <c r="C28" s="8" t="inlineStr">
        <is>
          <t>Category-II Heavy Duty Top Link Assembly</t>
        </is>
      </c>
      <c r="D28" s="9" t="inlineStr">
        <is>
          <t>RE244842 / RE71304</t>
        </is>
      </c>
      <c r="E28" s="7" t="inlineStr">
        <is>
          <t>Forged turnbuckle center top link with greaseable ball joints</t>
        </is>
      </c>
      <c r="F28" s="6" t="n">
        <v>1</v>
      </c>
      <c r="G28" s="6" t="inlineStr">
        <is>
          <t>3-Point Linkage</t>
        </is>
      </c>
    </row>
    <row r="29" ht="21" customHeight="1">
      <c r="A29" s="10" t="inlineStr">
        <is>
          <t>3.07</t>
        </is>
      </c>
      <c r="B29" s="11" t="inlineStr">
        <is>
          <t>Hydraulics, Lift &amp; 3-Point Linkage</t>
        </is>
      </c>
      <c r="C29" s="12" t="inlineStr">
        <is>
          <t>Stabilizer Stay / Telescopic Sway Bars</t>
        </is>
      </c>
      <c r="D29" s="13" t="inlineStr">
        <is>
          <t>RE244845 / RE244846</t>
        </is>
      </c>
      <c r="E29" s="11" t="inlineStr">
        <is>
          <t>Telescopic pin-lock sway bars eliminating implement play</t>
        </is>
      </c>
      <c r="F29" s="10" t="n">
        <v>2</v>
      </c>
      <c r="G29" s="10" t="inlineStr">
        <is>
          <t>Linkage Hardware</t>
        </is>
      </c>
    </row>
    <row r="30" ht="24" customHeight="1">
      <c r="A30" s="4" t="inlineStr">
        <is>
          <t>Brakes, Steering &amp; Front Axle Sub-Assembly</t>
        </is>
      </c>
      <c r="B30" s="5" t="n"/>
      <c r="C30" s="5" t="n"/>
      <c r="D30" s="5" t="n"/>
      <c r="E30" s="5" t="n"/>
      <c r="F30" s="5" t="n"/>
      <c r="G30" s="5" t="n"/>
    </row>
    <row r="31" ht="21" customHeight="1">
      <c r="A31" s="10" t="inlineStr">
        <is>
          <t>4.01</t>
        </is>
      </c>
      <c r="B31" s="11" t="inlineStr">
        <is>
          <t>Brakes, Steering &amp; Front Axle Sub-Assembly</t>
        </is>
      </c>
      <c r="C31" s="12" t="inlineStr">
        <is>
          <t>Oil Immersed Brake (OIB) Disc Plates</t>
        </is>
      </c>
      <c r="D31" s="13" t="inlineStr">
        <is>
          <t>R134468 / RE205934</t>
        </is>
      </c>
      <c r="E31" s="11" t="inlineStr">
        <is>
          <t>Sintered bronze friction brake discs running in oil bath</t>
        </is>
      </c>
      <c r="F31" s="10" t="n">
        <v>4</v>
      </c>
      <c r="G31" s="10" t="inlineStr">
        <is>
          <t>Braking System</t>
        </is>
      </c>
    </row>
    <row r="32" ht="21" customHeight="1">
      <c r="A32" s="6" t="inlineStr">
        <is>
          <t>4.02</t>
        </is>
      </c>
      <c r="B32" s="7" t="inlineStr">
        <is>
          <t>Brakes, Steering &amp; Front Axle Sub-Assembly</t>
        </is>
      </c>
      <c r="C32" s="8" t="inlineStr">
        <is>
          <t>Brake Actuator Intermediate Steel Separator</t>
        </is>
      </c>
      <c r="D32" s="9" t="inlineStr">
        <is>
          <t>R134469</t>
        </is>
      </c>
      <c r="E32" s="7" t="inlineStr">
        <is>
          <t>Ground steel reaction counter-plates</t>
        </is>
      </c>
      <c r="F32" s="6" t="n">
        <v>2</v>
      </c>
      <c r="G32" s="6" t="inlineStr">
        <is>
          <t>Braking System</t>
        </is>
      </c>
    </row>
    <row r="33" ht="21" customHeight="1">
      <c r="A33" s="10" t="inlineStr">
        <is>
          <t>4.03</t>
        </is>
      </c>
      <c r="B33" s="11" t="inlineStr">
        <is>
          <t>Brakes, Steering &amp; Front Axle Sub-Assembly</t>
        </is>
      </c>
      <c r="C33" s="12" t="inlineStr">
        <is>
          <t>Power Steering Hydraulic Cylinder</t>
        </is>
      </c>
      <c r="D33" s="13" t="inlineStr">
        <is>
          <t>RE218520 / RE244036</t>
        </is>
      </c>
      <c r="E33" s="11" t="inlineStr">
        <is>
          <t>Double-acting hydraulic steering actuator ram</t>
        </is>
      </c>
      <c r="F33" s="10" t="n">
        <v>1</v>
      </c>
      <c r="G33" s="10" t="inlineStr">
        <is>
          <t>Steering Mechanism</t>
        </is>
      </c>
    </row>
    <row r="34" ht="21" customHeight="1">
      <c r="A34" s="6" t="inlineStr">
        <is>
          <t>4.04</t>
        </is>
      </c>
      <c r="B34" s="7" t="inlineStr">
        <is>
          <t>Brakes, Steering &amp; Front Axle Sub-Assembly</t>
        </is>
      </c>
      <c r="C34" s="8" t="inlineStr">
        <is>
          <t>Steering Cylinder Ball Joint Tie Rod Ends</t>
        </is>
      </c>
      <c r="D34" s="9" t="inlineStr">
        <is>
          <t>RE218524 / RE218525</t>
        </is>
      </c>
      <c r="E34" s="7" t="inlineStr">
        <is>
          <t>M20/M22 greasable ball joints with castle nut &amp; split pin</t>
        </is>
      </c>
      <c r="F34" s="6" t="n">
        <v>2</v>
      </c>
      <c r="G34" s="6" t="inlineStr">
        <is>
          <t>Steering Linkage</t>
        </is>
      </c>
    </row>
    <row r="35" ht="21" customHeight="1">
      <c r="A35" s="10" t="inlineStr">
        <is>
          <t>4.05</t>
        </is>
      </c>
      <c r="B35" s="11" t="inlineStr">
        <is>
          <t>Brakes, Steering &amp; Front Axle Sub-Assembly</t>
        </is>
      </c>
      <c r="C35" s="12" t="inlineStr">
        <is>
          <t>Front Wheel Spindle Taper Roller Bearings</t>
        </is>
      </c>
      <c r="D35" s="13" t="inlineStr">
        <is>
          <t>JD8188 / JD8226</t>
        </is>
      </c>
      <c r="E35" s="11" t="inlineStr">
        <is>
          <t>Cone and cup bearing pair for front steer wheel hub</t>
        </is>
      </c>
      <c r="F35" s="10" t="n">
        <v>4</v>
      </c>
      <c r="G35" s="10" t="inlineStr">
        <is>
          <t>Front Axle Bearings</t>
        </is>
      </c>
    </row>
    <row r="36" ht="21" customHeight="1">
      <c r="A36" s="6" t="inlineStr">
        <is>
          <t>4.06</t>
        </is>
      </c>
      <c r="B36" s="7" t="inlineStr">
        <is>
          <t>Brakes, Steering &amp; Front Axle Sub-Assembly</t>
        </is>
      </c>
      <c r="C36" s="8" t="inlineStr">
        <is>
          <t>Kingpin Steering Knuckle Bushing Set</t>
        </is>
      </c>
      <c r="D36" s="9" t="inlineStr">
        <is>
          <t>R153328 / R153329</t>
        </is>
      </c>
      <c r="E36" s="7" t="inlineStr">
        <is>
          <t>Hardened steel / bronze flanged pivot bushings</t>
        </is>
      </c>
      <c r="F36" s="6" t="n">
        <v>4</v>
      </c>
      <c r="G36" s="6" t="inlineStr">
        <is>
          <t>Front Axle Pivot</t>
        </is>
      </c>
    </row>
    <row r="37" ht="24" customHeight="1">
      <c r="A37" s="4" t="inlineStr">
        <is>
          <t>Electrical System, Battery &amp; Lighting (12V System)</t>
        </is>
      </c>
      <c r="B37" s="5" t="n"/>
      <c r="C37" s="5" t="n"/>
      <c r="D37" s="5" t="n"/>
      <c r="E37" s="5" t="n"/>
      <c r="F37" s="5" t="n"/>
      <c r="G37" s="5" t="n"/>
    </row>
    <row r="38" ht="21" customHeight="1">
      <c r="A38" s="6" t="inlineStr">
        <is>
          <t>5.01</t>
        </is>
      </c>
      <c r="B38" s="7" t="inlineStr">
        <is>
          <t>Electrical System, Battery &amp; Lighting</t>
        </is>
      </c>
      <c r="C38" s="8" t="inlineStr">
        <is>
          <t>Starter Motor Assembly (12V, 2.8 kW)</t>
        </is>
      </c>
      <c r="D38" s="9" t="inlineStr">
        <is>
          <t>RE501693 / RE540304</t>
        </is>
      </c>
      <c r="E38" s="7" t="inlineStr">
        <is>
          <t>Denso/Lucas-TVS 12V pre-engaged reduction starter motor</t>
        </is>
      </c>
      <c r="F38" s="6" t="n">
        <v>1</v>
      </c>
      <c r="G38" s="6" t="inlineStr">
        <is>
          <t>Electrical Starting</t>
        </is>
      </c>
    </row>
    <row r="39" ht="21" customHeight="1">
      <c r="A39" s="10" t="inlineStr">
        <is>
          <t>5.02</t>
        </is>
      </c>
      <c r="B39" s="11" t="inlineStr">
        <is>
          <t>Electrical System, Battery &amp; Lighting</t>
        </is>
      </c>
      <c r="C39" s="12" t="inlineStr">
        <is>
          <t>Alternator Assembly (12V, 40A / 55A)</t>
        </is>
      </c>
      <c r="D39" s="13" t="inlineStr">
        <is>
          <t>RE506196 / RE208428</t>
        </is>
      </c>
      <c r="E39" s="11" t="inlineStr">
        <is>
          <t>Internal fan regulator 12V alternator with serpentine pulley</t>
        </is>
      </c>
      <c r="F39" s="10" t="n">
        <v>1</v>
      </c>
      <c r="G39" s="10" t="inlineStr">
        <is>
          <t>Electrical Charging</t>
        </is>
      </c>
    </row>
    <row r="40" ht="21" customHeight="1">
      <c r="A40" s="6" t="inlineStr">
        <is>
          <t>5.03</t>
        </is>
      </c>
      <c r="B40" s="7" t="inlineStr">
        <is>
          <t>Electrical System, Battery &amp; Lighting</t>
        </is>
      </c>
      <c r="C40" s="8" t="inlineStr">
        <is>
          <t>Neutral Safety / Starter Inhibitor Switch</t>
        </is>
      </c>
      <c r="D40" s="9" t="inlineStr">
        <is>
          <t>RE244670 / RE43492</t>
        </is>
      </c>
      <c r="E40" s="7" t="inlineStr">
        <is>
          <t>Transmission top cover interlock switch preventing in-gear crank</t>
        </is>
      </c>
      <c r="F40" s="6" t="n">
        <v>1</v>
      </c>
      <c r="G40" s="6" t="inlineStr">
        <is>
          <t>Electrical Safety</t>
        </is>
      </c>
    </row>
    <row r="41" ht="21" customHeight="1">
      <c r="A41" s="10" t="inlineStr">
        <is>
          <t>5.04</t>
        </is>
      </c>
      <c r="B41" s="11" t="inlineStr">
        <is>
          <t>Electrical System, Battery &amp; Lighting</t>
        </is>
      </c>
      <c r="C41" s="12" t="inlineStr">
        <is>
          <t>Digital Combination Instrument Cluster</t>
        </is>
      </c>
      <c r="D41" s="13" t="inlineStr">
        <is>
          <t>RE257008 / RE243138</t>
        </is>
      </c>
      <c r="E41" s="11" t="inlineStr">
        <is>
          <t>Integrated digital hour meter, tachometer &amp; warning indicators</t>
        </is>
      </c>
      <c r="F41" s="10" t="n">
        <v>1</v>
      </c>
      <c r="G41" s="10" t="inlineStr">
        <is>
          <t>Instrumentation</t>
        </is>
      </c>
    </row>
    <row r="42" ht="25" customHeight="1">
      <c r="A42" s="14" t="inlineStr">
        <is>
          <t>TOTAL INDENT / BOM LINE ITEMS</t>
        </is>
      </c>
      <c r="B42" s="15" t="n"/>
      <c r="C42" s="15" t="n"/>
      <c r="D42" s="15" t="n"/>
      <c r="E42" s="15" t="n"/>
      <c r="F42" s="16">
        <f>SUM(F5:F41)</f>
        <v/>
      </c>
      <c r="G42" s="17" t="inlineStr"/>
    </row>
  </sheetData>
  <mergeCells count="8">
    <mergeCell ref="A1:G1"/>
    <mergeCell ref="A22:G22"/>
    <mergeCell ref="A42:E42"/>
    <mergeCell ref="A30:G30"/>
    <mergeCell ref="A2:G2"/>
    <mergeCell ref="A15:G15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24" customWidth="1" min="3" max="3"/>
    <col width="24" customWidth="1" min="4" max="4"/>
    <col width="20" customWidth="1" min="5" max="5"/>
  </cols>
  <sheetData>
    <row r="1" ht="35" customHeight="1">
      <c r="A1" s="18" t="inlineStr">
        <is>
          <t>JOHN DEERE 5050D - FLUID CAPACITIES &amp; PERIODIC SERVICE SCHEDULE</t>
        </is>
      </c>
    </row>
    <row r="3">
      <c r="A3" s="19" t="inlineStr">
        <is>
          <t>System Fluid Specifications &amp; Capacities</t>
        </is>
      </c>
    </row>
    <row r="4" ht="24" customHeight="1">
      <c r="A4" s="20" t="inlineStr">
        <is>
          <t>Aggregate / System</t>
        </is>
      </c>
      <c r="B4" s="20" t="inlineStr">
        <is>
          <t>Recommended Grade / Specification</t>
        </is>
      </c>
      <c r="C4" s="20" t="inlineStr">
        <is>
          <t>Total Capacity (Liters)</t>
        </is>
      </c>
      <c r="D4" s="20" t="inlineStr">
        <is>
          <t>Service Interval</t>
        </is>
      </c>
    </row>
    <row r="5" ht="20" customHeight="1">
      <c r="A5" s="21" t="inlineStr">
        <is>
          <t>Engine Sump Oil</t>
        </is>
      </c>
      <c r="B5" s="22" t="inlineStr">
        <is>
          <t>John Deere Plus-50 II (15W-40 API CK-4 / CI-4)</t>
        </is>
      </c>
      <c r="C5" s="22" t="inlineStr">
        <is>
          <t>8.5 L</t>
        </is>
      </c>
      <c r="D5" s="22" t="inlineStr">
        <is>
          <t>Every 250 - 500 Hours</t>
        </is>
      </c>
    </row>
    <row r="6" ht="20" customHeight="1">
      <c r="A6" s="23" t="inlineStr">
        <is>
          <t>Transmission &amp; Hydraulic System</t>
        </is>
      </c>
      <c r="B6" s="24" t="inlineStr">
        <is>
          <t>John Deere Hy-Gard / Low Viscosity Hy-Gard (J20C standard)</t>
        </is>
      </c>
      <c r="C6" s="24" t="inlineStr">
        <is>
          <t>38.0 L</t>
        </is>
      </c>
      <c r="D6" s="24" t="inlineStr">
        <is>
          <t>Every 1000 Hours</t>
        </is>
      </c>
    </row>
    <row r="7" ht="20" customHeight="1">
      <c r="A7" s="21" t="inlineStr">
        <is>
          <t>Cooling System (Radiator)</t>
        </is>
      </c>
      <c r="B7" s="22" t="inlineStr">
        <is>
          <t>John Deere Cool-Gard II (Pre-mix 50:50 Ethylene Glycol)</t>
        </is>
      </c>
      <c r="C7" s="22" t="inlineStr">
        <is>
          <t>9.5 L</t>
        </is>
      </c>
      <c r="D7" s="22" t="inlineStr">
        <is>
          <t>Every 3 Years / 2000 Hours</t>
        </is>
      </c>
    </row>
    <row r="8" ht="20" customHeight="1">
      <c r="A8" s="23" t="inlineStr">
        <is>
          <t>Dry Type Air Cleaner Dust Cup</t>
        </is>
      </c>
      <c r="B8" s="24" t="inlineStr">
        <is>
          <t>Cleaned mechanically / rubber evacuator valve</t>
        </is>
      </c>
      <c r="C8" s="24" t="inlineStr">
        <is>
          <t>Dry Dual Element</t>
        </is>
      </c>
      <c r="D8" s="24" t="inlineStr">
        <is>
          <t>Inspect Daily / Clean as needed</t>
        </is>
      </c>
    </row>
    <row r="9" ht="20" customHeight="1">
      <c r="A9" s="21" t="inlineStr">
        <is>
          <t>Front Wheel Hubs / Spindles</t>
        </is>
      </c>
      <c r="B9" s="22" t="inlineStr">
        <is>
          <t>NLGI Grade 2 Multi-Purpose Lithium Grease</t>
        </is>
      </c>
      <c r="C9" s="22" t="inlineStr">
        <is>
          <t>Grease packed</t>
        </is>
      </c>
      <c r="D9" s="22" t="inlineStr">
        <is>
          <t>Every 250 Hours</t>
        </is>
      </c>
    </row>
    <row r="10" ht="20" customHeight="1">
      <c r="A10" s="23" t="inlineStr">
        <is>
          <t>Fuel Tank Capacity</t>
        </is>
      </c>
      <c r="B10" s="24" t="inlineStr">
        <is>
          <t>High-Speed Diesel (HSD)</t>
        </is>
      </c>
      <c r="C10" s="24" t="inlineStr">
        <is>
          <t>60.0 L</t>
        </is>
      </c>
      <c r="D10" s="24" t="inlineStr">
        <is>
          <t>Refill as required</t>
        </is>
      </c>
    </row>
    <row r="13">
      <c r="A13" s="19" t="inlineStr">
        <is>
          <t>Standard Workshop Maintenance Protocols</t>
        </is>
      </c>
    </row>
    <row r="14" ht="36" customHeight="1">
      <c r="A14" s="25" t="inlineStr">
        <is>
          <t>1. Engine Oil &amp; Plus-50 II Drain Interval</t>
        </is>
      </c>
      <c r="B14" s="26" t="inlineStr">
        <is>
          <t>When utilizing genuine John Deere Plus-50 II 15W-40 oil with genuine John Deere oil filters (RE505183), the drain interval can be extended up to 500 hours. If using standard commercial 15W-40 CI-4 oils, drain at strictly 250 hours.</t>
        </is>
      </c>
    </row>
    <row r="15" ht="36" customHeight="1">
      <c r="A15" s="25" t="inlineStr">
        <is>
          <t>2. Fuel System Dual-Stage Bleeding</t>
        </is>
      </c>
      <c r="B15" s="26" t="inlineStr">
        <is>
          <t>The 5050D uses a dual-filter layout (primary sediment separator RE529643 and secondary 2-micron RE522878). Replace both together. Bleed air using the hand primer pump located on the fuel transfer pump until firm resistance is felt.</t>
        </is>
      </c>
    </row>
    <row r="16" ht="36" customHeight="1">
      <c r="A16" s="25" t="inlineStr">
        <is>
          <t>3. Hy-Gard Hydraulic &amp; Wet Brake (OIB) Protection</t>
        </is>
      </c>
      <c r="B16" s="26" t="inlineStr">
        <is>
          <t>The transmission and hydraulics share an oil reservoir (38 Liters). Never mix standard automotive gear oil (EP-90) into the JD transmission; non-approved oils cause brake chatter, glazed OIB friction plates, and clogged hydraulic solenoid spools. Use exclusively J20C Hy-Gard.</t>
        </is>
      </c>
    </row>
    <row r="17" ht="36" customHeight="1">
      <c r="A17" s="25" t="inlineStr">
        <is>
          <t>4. Dual Dry Clutch Free-Play</t>
        </is>
      </c>
      <c r="B17" s="26" t="inlineStr">
        <is>
          <t>Ensure clutch pedal free play is maintained between 30 mm and 35 mm. The dual clutch drives both the transmission and the independent PTO shaft; insufficient free play burns out the throwout release bearing (RE197367).</t>
        </is>
      </c>
    </row>
    <row r="18" ht="36" customHeight="1">
      <c r="A18" s="25" t="inlineStr">
        <is>
          <t>5. Planetary Final Drive Servicing</t>
        </is>
      </c>
      <c r="B18" s="26" t="inlineStr">
        <is>
          <t>Check rear planetary reduction hub gear oil level during every routine transmission service. Planetary gears absorb heavy drawbar reaction forces during rotary slashing and gang mowing.</t>
        </is>
      </c>
    </row>
  </sheetData>
  <mergeCells count="6">
    <mergeCell ref="B17:E17"/>
    <mergeCell ref="B18:E18"/>
    <mergeCell ref="B16:E16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2026-10-12T16:22:27Z</dcterms:created>
  <dcterms:modified xmlns:dcterms="http://purl.org/dc/terms/" xmlns:xsi="http://www.w3.org/2001/XMLSchema-instance" xsi:type="dcterms:W3CDTF">2026-10-12T16:22:27Z</dcterms:modified>
</cp:coreProperties>
</file>