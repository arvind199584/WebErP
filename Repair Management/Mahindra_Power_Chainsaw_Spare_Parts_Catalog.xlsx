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nsaw Spares Catalog" sheetId="1" r:id="rId4"/>
    <sheet state="visible" name="Maintenance &amp; Field Guide" sheetId="2" r:id="rId5"/>
  </sheets>
  <definedNames/>
  <calcPr/>
</workbook>
</file>

<file path=xl/sharedStrings.xml><?xml version="1.0" encoding="utf-8"?>
<sst xmlns="http://schemas.openxmlformats.org/spreadsheetml/2006/main" count="176" uniqueCount="150">
  <si>
    <t>MAHINDRA / POWER HORTICULTURE CHAINSAW (58CC / 52CC) - SPARE PARTS CATALOG &amp; BOM</t>
  </si>
  <si>
    <t>Commercial Heavy-Duty Woodcutting &amp; Tree Pruning Chainsaw (18" / 20" / 22" Bar Capacity)</t>
  </si>
  <si>
    <t>Item No.</t>
  </si>
  <si>
    <t>Assembly Group</t>
  </si>
  <si>
    <t>Part / Component Description</t>
  </si>
  <si>
    <t>Standard OEM / Part Code Ref.</t>
  </si>
  <si>
    <t>Technical Specification / Dimensions</t>
  </si>
  <si>
    <t>Qty / Unit</t>
  </si>
  <si>
    <t>Maintenance Category</t>
  </si>
  <si>
    <t>Cutting Bar, Chain &amp; Drive Sprocket Assembly</t>
  </si>
  <si>
    <t>1.01</t>
  </si>
  <si>
    <t>20-Inch Laminated Guide Bar (Sprocket Nose)</t>
  </si>
  <si>
    <t>CS-GB-20-325</t>
  </si>
  <si>
    <t>20" (50 cm) guide bar, 0.325" pitch, 0.058" (1.5mm) gauge</t>
  </si>
  <si>
    <t>Cutting Hardware</t>
  </si>
  <si>
    <t>1.02</t>
  </si>
  <si>
    <t>18-Inch Guide Bar (Alternative Setup)</t>
  </si>
  <si>
    <t>CS-GB-18-325</t>
  </si>
  <si>
    <t>18" (45 cm) guide bar, 0.325" pitch, 0.058" (1.5mm) gauge</t>
  </si>
  <si>
    <t>Alternative Bar</t>
  </si>
  <si>
    <t>1.03</t>
  </si>
  <si>
    <t>Full Chisel Saw Chain Loop (76 Drive Links)</t>
  </si>
  <si>
    <t>CS-CHN-325-76DL</t>
  </si>
  <si>
    <t>0.325" Pitch, 0.058" Gauge, 76 DL hardened cutting chain</t>
  </si>
  <si>
    <t>High-Wear Replaceable</t>
  </si>
  <si>
    <t>1.04</t>
  </si>
  <si>
    <t>Drive Rim Sprocket / Clutch Spur Drum</t>
  </si>
  <si>
    <t>CS-SPK-325-7T</t>
  </si>
  <si>
    <t>7-Tooth 0.325" pitch floating rim / fixed spur sprocket</t>
  </si>
  <si>
    <t>Wear Component</t>
  </si>
  <si>
    <t>1.05</t>
  </si>
  <si>
    <t>Bar Clamp Collar Studs &amp; Flanged Bar Nuts</t>
  </si>
  <si>
    <t>CS-FST-BNUT-M8</t>
  </si>
  <si>
    <t>High-tensile Grade 8.8 M8 guide bar mounting studs &amp; flanged nuts</t>
  </si>
  <si>
    <t>Hardware / Fastener</t>
  </si>
  <si>
    <t>1.06</t>
  </si>
  <si>
    <t>Chain Tensioner Screw &amp; Adjusting Pin Kit</t>
  </si>
  <si>
    <t>CS-TNS-KIT58</t>
  </si>
  <si>
    <t>Front/side-access tensioner gear, screw &amp; brass travel pin</t>
  </si>
  <si>
    <t>Adjustment Hardware</t>
  </si>
  <si>
    <t>1.07</t>
  </si>
  <si>
    <t>Spiked Bumper / Felling Dog</t>
  </si>
  <si>
    <t>CS-BMP-DOG01</t>
  </si>
  <si>
    <t>Hardened steel log gripping dog with M5 hex socket mounting bolts</t>
  </si>
  <si>
    <t>Safety / Cutting Aid</t>
  </si>
  <si>
    <t>Centrifugal Clutch, Brake Band &amp; Chain Brake Assembly</t>
  </si>
  <si>
    <t>2.01</t>
  </si>
  <si>
    <t>Chain Brake Hand Guard &amp; Tripping Lever</t>
  </si>
  <si>
    <t>CS-BRK-LV58</t>
  </si>
  <si>
    <t>Ergonomic front inertia hand guard with trip latch spring</t>
  </si>
  <si>
    <t>Safety Component</t>
  </si>
  <si>
    <t>2.02</t>
  </si>
  <si>
    <t>Spring Steel Chain Brake Band</t>
  </si>
  <si>
    <t>CS-BRK-BND01</t>
  </si>
  <si>
    <t>Tempered spring steel wrapped band for clutch drum braking</t>
  </si>
  <si>
    <t>Safety Wear Item</t>
  </si>
  <si>
    <t>2.03</t>
  </si>
  <si>
    <t>Centrifugal Clutch Assembly (3-Shoe)</t>
  </si>
  <si>
    <t>CS-CLT-3SH58</t>
  </si>
  <si>
    <t>3-Piece clutch shoe assembly with central garter spring</t>
  </si>
  <si>
    <t>Drive Transmission</t>
  </si>
  <si>
    <t>2.04</t>
  </si>
  <si>
    <t>Needle Roller Bearing (Clutch Drum)</t>
  </si>
  <si>
    <t>K121515 / HK1210</t>
  </si>
  <si>
    <t>Needle roller cage bearing for crankshaft / clutch drum (12x15x15 mm)</t>
  </si>
  <si>
    <t>Bearing / Overhaul</t>
  </si>
  <si>
    <t>2.05</t>
  </si>
  <si>
    <t>Side Clutch Cover with Integrated Brake Mechanism</t>
  </si>
  <si>
    <t>CS-CVR-BRK58</t>
  </si>
  <si>
    <t>Cast aluminium / ABS clutch cover housing with internal brake spring</t>
  </si>
  <si>
    <t>Housing Sub-Assembly</t>
  </si>
  <si>
    <t>2.06</t>
  </si>
  <si>
    <t>Chain Catcher Pin</t>
  </si>
  <si>
    <t>CS-CTH-PIN01</t>
  </si>
  <si>
    <t>Aluminium/polymeric sacrificial chain catcher safety peg</t>
  </si>
  <si>
    <t>Safety Replacement</t>
  </si>
  <si>
    <t>Automatic Lubrication &amp; Oil Delivery System</t>
  </si>
  <si>
    <t>3.01</t>
  </si>
  <si>
    <t>Automatic Chain Oiler Pump Assembly</t>
  </si>
  <si>
    <t>CS-PMP-OIL58</t>
  </si>
  <si>
    <t>Variable flow mechanical plunger oil pump</t>
  </si>
  <si>
    <t>Lubrication Unit</t>
  </si>
  <si>
    <t>3.02</t>
  </si>
  <si>
    <t>Worm Gear Drive Pinion (Nylon/Steel)</t>
  </si>
  <si>
    <t>CS-WRM-DRV01</t>
  </si>
  <si>
    <t>Crankshaft-driven helical nylon/metal worm drive gear</t>
  </si>
  <si>
    <t>3.03</t>
  </si>
  <si>
    <t>Chain Oil Filter Pick-Up &amp; Rubber Hose</t>
  </si>
  <si>
    <t>CS-FLT-OIL01</t>
  </si>
  <si>
    <t>Fine wire mesh weighted oil pickup filter with molded feed pipe</t>
  </si>
  <si>
    <t>Consumable / Filter</t>
  </si>
  <si>
    <t>3.04</t>
  </si>
  <si>
    <t>Chain Oil Tank Cap with Seal Ring</t>
  </si>
  <si>
    <t>CS-CAP-OIL58</t>
  </si>
  <si>
    <t>Tool-less / screw-in oil tank cap with fuel-resistant NBR gasket</t>
  </si>
  <si>
    <t>Hardware / Consumable</t>
  </si>
  <si>
    <t>Engine Powerhead, Fuel System &amp; Ignition (52cc / 58cc 2-Stroke)</t>
  </si>
  <si>
    <t>4.01</t>
  </si>
  <si>
    <t>Engine Powerhead, Fuel System &amp; Ignition</t>
  </si>
  <si>
    <t>58cc Cylinder Block &amp; Piston Kit (45.2mm)</t>
  </si>
  <si>
    <t>CS-CYL-PST58</t>
  </si>
  <si>
    <t>Hard chrome-plated 45.2 mm bore cylinder, dual-ring piston &amp; pin</t>
  </si>
  <si>
    <t>Engine Core / Overhaul</t>
  </si>
  <si>
    <t>4.02</t>
  </si>
  <si>
    <t>Diaphragm Carburetor Assembly (Walbro / Tillotson Type)</t>
  </si>
  <si>
    <t>CS-CRB-MP58</t>
  </si>
  <si>
    <t>Dual needle adjustable diaphragm carburetor (H/L jets) with primer</t>
  </si>
  <si>
    <t>Fuel System</t>
  </si>
  <si>
    <t>4.03</t>
  </si>
  <si>
    <t>Easy-Pull Recoil Starter Assembly</t>
  </si>
  <si>
    <t>CS-STR-EASY58</t>
  </si>
  <si>
    <t>Double-spring assisted recoil starter with starter pulley &amp; cord</t>
  </si>
  <si>
    <t>Starting Mechanism</t>
  </si>
  <si>
    <t>4.04</t>
  </si>
  <si>
    <t>Electronic Ignition Magneto Coil Module</t>
  </si>
  <si>
    <t>CS-IGN-COIL58</t>
  </si>
  <si>
    <t>CDI solid-state electronic ignition coil with high-tension lead</t>
  </si>
  <si>
    <t>Electrical Ignition</t>
  </si>
  <si>
    <t>4.05</t>
  </si>
  <si>
    <t>Heavy Duty Spark Plug (Hex 19mm)</t>
  </si>
  <si>
    <t>BM6A / L7T / RCJ7Y</t>
  </si>
  <si>
    <t>Compact 2-stroke small engine spark plug, 0.6–0.7 mm preset gap</t>
  </si>
  <si>
    <t>Service Consumable</t>
  </si>
  <si>
    <t>4.06</t>
  </si>
  <si>
    <t>Dual-Stage Air Filter Cartridge</t>
  </si>
  <si>
    <t>CS-FLT-AIR58</t>
  </si>
  <si>
    <t>Washable fine nylon mesh / flocked fiber cartridge filter</t>
  </si>
  <si>
    <t>4.07</t>
  </si>
  <si>
    <t>AV Buffer Dampers (Rubber / Steel Spring Set)</t>
  </si>
  <si>
    <t>CS-AV-MNT05</t>
  </si>
  <si>
    <t>5-Point anti-vibration annular rubber mounts &amp; buffer springs</t>
  </si>
  <si>
    <t>Vibration Damping</t>
  </si>
  <si>
    <t>4.08</t>
  </si>
  <si>
    <t>Muffler / Silencer Exhaust with Spark Arrestor</t>
  </si>
  <si>
    <t>CS-EXH-MFL58</t>
  </si>
  <si>
    <t>Twin-port low-backpressure exhaust silencer with gasket &amp; bolts</t>
  </si>
  <si>
    <t>Exhaust System</t>
  </si>
  <si>
    <t>TOTAL INDENT / BOM LINE ITEMS</t>
  </si>
  <si>
    <t>COMMERCIAL PETROL CHAINSAW - OPERATIONAL &amp; SAFETY OVERHAUL NOTES</t>
  </si>
  <si>
    <t>Crucial Workshop Safety &amp; Overhauling Protocols</t>
  </si>
  <si>
    <t>1. Inertia Chain Brake Safety Test</t>
  </si>
  <si>
    <t>Before commencing wood felling, test the chain brake by activating the hand guard forward at idle. The brake band must instantly lock the clutch drum. Never operate a chainsaw with a cracked brake band, broken trip toggle spring, or missing chain catcher.</t>
  </si>
  <si>
    <t>2. Bar &amp; Chain Matching (Pitch vs Gauge)</t>
  </si>
  <si>
    <t>Standard 52cc/58cc saws utilize 0.325" pitch with 0.058" (1.5 mm) gauge chain. Ensure that replacement loops match both the drive sprocket rim pitch (0.325" 7T) and the guide bar rail slot gauge. Using a 0.050" chain in a 0.058" bar causes skewed cutting angles and premature bar wear.</t>
  </si>
  <si>
    <t>3. Worm Drive &amp; Automatic Oiler Inspection</t>
  </si>
  <si>
    <t>If the chain runs dry, verify the nylon worm gear driving the oil pump plunger. Debris or overtightened clutch drums frequently strip the plastic worm drive gear threads. Use dedicated ISO VG 100/150 bar oil rather than drained sump oil.</t>
  </si>
  <si>
    <t>4. Needle Bearing Lubrication</t>
  </si>
  <si>
    <t>The centrifugal clutch drum needle bearing (HK1210 / K121515) must be greased with high-temperature lithium or moly grease during each chain/bar replacement to prevent clutch drum lockup at engine idle.</t>
  </si>
  <si>
    <t>5. Fuel &amp; Carburetor Storage Protocol</t>
  </si>
  <si>
    <t>Run high-grade 2T synthetic oil mixed with fresh petrol at 40:1 or 25:1 (per engine running-in spec). For equipment idle longer than 3 weeks, drain the fuel tank and run dry to prevent ethanol-induced gumming of the metering diaphragm and inlet needle.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</si>
</sst>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name val="Arial"/>
      <scheme val="minor"/>
    </font>
    <font>
      <b/>
      <sz val="13.0"/>
      <color rgb="FFFFFFFF"/>
      <name val="Calibri"/>
    </font>
    <font/>
    <font>
      <i/>
      <sz val="10.0"/>
      <color rgb="FF333333"/>
      <name val="Calibri"/>
    </font>
    <font>
      <b/>
      <sz val="11.0"/>
      <color rgb="FFFFFFFF"/>
      <name val="Calibri"/>
    </font>
    <font>
      <b/>
      <sz val="11.0"/>
      <color rgb="FF1F4E79"/>
      <name val="Calibri"/>
    </font>
    <font>
      <sz val="10.0"/>
      <name val="Calibri"/>
    </font>
    <font>
      <b/>
      <sz val="10.0"/>
      <name val="Calibri"/>
    </font>
    <font>
      <b/>
      <sz val="9.0"/>
      <color rgb="FF1F4E79"/>
      <name val="Consolas"/>
    </font>
    <font>
      <sz val="11.0"/>
      <color/>
      <name val="Calibri"/>
    </font>
  </fonts>
  <fills count="7">
    <fill>
      <patternFill patternType="none"/>
    </fill>
    <fill>
      <patternFill patternType="lightGray"/>
    </fill>
    <fill>
      <patternFill patternType="solid">
        <fgColor rgb="FF1B365D"/>
        <bgColor rgb="FF1B365D"/>
      </patternFill>
    </fill>
    <fill>
      <patternFill patternType="solid">
        <fgColor rgb="FF1F4E79"/>
        <bgColor rgb="FF1F4E79"/>
      </patternFill>
    </fill>
    <fill>
      <patternFill patternType="solid">
        <fgColor rgb="FFD9E1F2"/>
        <bgColor rgb="FFD9E1F2"/>
      </patternFill>
    </fill>
    <fill>
      <patternFill patternType="solid">
        <fgColor rgb="FFF2F5F9"/>
        <bgColor rgb="FFF2F5F9"/>
      </patternFill>
    </fill>
    <fill>
      <patternFill patternType="solid">
        <fgColor rgb="FFE9EEF4"/>
        <bgColor rgb="FFE9EEF4"/>
      </patternFill>
    </fill>
  </fills>
  <borders count="11">
    <border/>
    <border>
      <left/>
      <top/>
      <bottom/>
    </border>
    <border>
      <top/>
      <bottom/>
    </border>
    <border>
      <right/>
      <top/>
      <bottom/>
    </border>
    <border>
      <left style="thin">
        <color rgb="FFD9D9D9"/>
      </left>
      <right style="thin">
        <color rgb="FFD9D9D9"/>
      </right>
      <top style="thin">
        <color rgb="FFD9D9D9"/>
      </top>
      <bottom style="medium">
        <color rgb="FF1F4E7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medium">
        <color rgb="FF1F4E79"/>
      </top>
      <bottom style="medium">
        <color rgb="FF1F4E79"/>
      </bottom>
    </border>
    <border>
      <top style="medium">
        <color rgb="FF1F4E79"/>
      </top>
      <bottom style="medium">
        <color rgb="FF1F4E79"/>
      </bottom>
    </border>
    <border>
      <right style="thin">
        <color rgb="FFD9D9D9"/>
      </right>
      <top style="medium">
        <color rgb="FF1F4E79"/>
      </top>
      <bottom style="medium">
        <color rgb="FF1F4E79"/>
      </bottom>
    </border>
    <border>
      <left style="thin">
        <color rgb="FFD9D9D9"/>
      </left>
      <right style="thin">
        <color rgb="FFD9D9D9"/>
      </right>
      <top style="medium">
        <color rgb="FF1F4E79"/>
      </top>
      <bottom style="medium">
        <color rgb="FF1F4E79"/>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vertical="center"/>
    </xf>
    <xf borderId="4" fillId="3" fontId="4" numFmtId="0" xfId="0" applyAlignment="1" applyBorder="1" applyFill="1" applyFont="1">
      <alignment horizontal="center" shrinkToFit="0" vertical="center" wrapText="1"/>
    </xf>
    <xf borderId="5" fillId="4" fontId="5" numFmtId="0" xfId="0" applyAlignment="1" applyBorder="1" applyFill="1" applyFont="1">
      <alignment horizontal="left" vertical="center"/>
    </xf>
    <xf borderId="5" fillId="0" fontId="2" numFmtId="0" xfId="0" applyBorder="1" applyFont="1"/>
    <xf borderId="6" fillId="5" fontId="6" numFmtId="0" xfId="0" applyAlignment="1" applyBorder="1" applyFill="1" applyFont="1">
      <alignment horizontal="center" vertical="center"/>
    </xf>
    <xf borderId="6" fillId="5" fontId="6" numFmtId="0" xfId="0" applyAlignment="1" applyBorder="1" applyFill="1" applyFont="1">
      <alignment horizontal="left" vertical="center"/>
    </xf>
    <xf borderId="6" fillId="5" fontId="7" numFmtId="0" xfId="0" applyAlignment="1" applyBorder="1" applyFill="1" applyFont="1">
      <alignment horizontal="left" vertical="center"/>
    </xf>
    <xf borderId="6" fillId="5" fontId="8" numFmtId="0" xfId="0" applyAlignment="1" applyBorder="1" applyFill="1" applyFont="1">
      <alignment horizontal="left" vertical="center"/>
    </xf>
    <xf borderId="6" fillId="0" fontId="6" numFmtId="0" xfId="0" applyAlignment="1" applyBorder="1" applyFont="1">
      <alignment horizontal="center" vertical="center"/>
    </xf>
    <xf borderId="6" fillId="0" fontId="6" numFmtId="0" xfId="0" applyAlignment="1" applyBorder="1" applyFont="1">
      <alignment horizontal="left" vertical="center"/>
    </xf>
    <xf borderId="6" fillId="0" fontId="7" numFmtId="0" xfId="0" applyAlignment="1" applyBorder="1" applyFont="1">
      <alignment horizontal="left" vertical="center"/>
    </xf>
    <xf borderId="6" fillId="0" fontId="8" numFmtId="0" xfId="0" applyAlignment="1" applyBorder="1" applyFont="1">
      <alignment horizontal="left" vertical="center"/>
    </xf>
    <xf borderId="7" fillId="6" fontId="5" numFmtId="0" xfId="0" applyAlignment="1" applyBorder="1" applyFill="1" applyFont="1">
      <alignment horizontal="right" vertical="center"/>
    </xf>
    <xf borderId="8" fillId="0" fontId="2" numFmtId="0" xfId="0" applyBorder="1" applyFont="1"/>
    <xf borderId="9" fillId="0" fontId="2" numFmtId="0" xfId="0" applyBorder="1" applyFont="1"/>
    <xf borderId="10" fillId="6" fontId="5" numFmtId="0" xfId="0" applyAlignment="1" applyBorder="1" applyFill="1" applyFont="1">
      <alignment horizontal="center" vertical="center"/>
    </xf>
    <xf borderId="10" fillId="6" fontId="9" numFmtId="0" xfId="0" applyBorder="1" applyFill="1" applyFont="1"/>
    <xf borderId="1" fillId="3" fontId="1" numFmtId="0" xfId="0" applyAlignment="1" applyBorder="1" applyFill="1" applyFont="1">
      <alignment horizontal="center" vertical="center"/>
    </xf>
    <xf borderId="0" fillId="0" fontId="5" numFmtId="0" xfId="0" applyFont="1"/>
    <xf borderId="0" fillId="0" fontId="7" numFmtId="0" xfId="0" applyAlignment="1" applyFont="1">
      <alignment vertical="top"/>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30.0"/>
    <col customWidth="1" min="3" max="3" width="38.0"/>
    <col customWidth="1" min="4" max="4" width="24.0"/>
    <col customWidth="1" min="5" max="5" width="46.0"/>
    <col customWidth="1" min="6" max="6" width="12.0"/>
    <col customWidth="1" min="7" max="7" width="24.0"/>
    <col customWidth="1" min="8" max="11" width="8.71"/>
  </cols>
  <sheetData>
    <row r="1" ht="39.75" customHeight="1">
      <c r="A1" s="1" t="s">
        <v>0</v>
      </c>
      <c r="B1" s="2"/>
      <c r="C1" s="2"/>
      <c r="D1" s="2"/>
      <c r="E1" s="2"/>
      <c r="F1" s="2"/>
      <c r="G1" s="3"/>
    </row>
    <row r="2" ht="19.5" customHeight="1">
      <c r="A2" s="4" t="s">
        <v>1</v>
      </c>
    </row>
    <row r="4" ht="27.75" customHeight="1">
      <c r="A4" s="5" t="s">
        <v>2</v>
      </c>
      <c r="B4" s="5" t="s">
        <v>3</v>
      </c>
      <c r="C4" s="5" t="s">
        <v>4</v>
      </c>
      <c r="D4" s="5" t="s">
        <v>5</v>
      </c>
      <c r="E4" s="5" t="s">
        <v>6</v>
      </c>
      <c r="F4" s="5" t="s">
        <v>7</v>
      </c>
      <c r="G4" s="5" t="s">
        <v>8</v>
      </c>
    </row>
    <row r="5" ht="24.0" customHeight="1">
      <c r="A5" s="6" t="s">
        <v>9</v>
      </c>
      <c r="B5" s="7"/>
      <c r="C5" s="7"/>
      <c r="D5" s="7"/>
      <c r="E5" s="7"/>
      <c r="F5" s="7"/>
      <c r="G5" s="7"/>
    </row>
    <row r="6" ht="21.0" customHeight="1">
      <c r="A6" s="8" t="s">
        <v>10</v>
      </c>
      <c r="B6" s="9" t="s">
        <v>9</v>
      </c>
      <c r="C6" s="10" t="s">
        <v>11</v>
      </c>
      <c r="D6" s="11" t="s">
        <v>12</v>
      </c>
      <c r="E6" s="9" t="s">
        <v>13</v>
      </c>
      <c r="F6" s="8">
        <v>1.0</v>
      </c>
      <c r="G6" s="8" t="s">
        <v>14</v>
      </c>
    </row>
    <row r="7" ht="21.0" customHeight="1">
      <c r="A7" s="12" t="s">
        <v>15</v>
      </c>
      <c r="B7" s="13" t="s">
        <v>9</v>
      </c>
      <c r="C7" s="14" t="s">
        <v>16</v>
      </c>
      <c r="D7" s="15" t="s">
        <v>17</v>
      </c>
      <c r="E7" s="13" t="s">
        <v>18</v>
      </c>
      <c r="F7" s="12">
        <v>1.0</v>
      </c>
      <c r="G7" s="12" t="s">
        <v>19</v>
      </c>
    </row>
    <row r="8" ht="21.0" customHeight="1">
      <c r="A8" s="8" t="s">
        <v>20</v>
      </c>
      <c r="B8" s="9" t="s">
        <v>9</v>
      </c>
      <c r="C8" s="10" t="s">
        <v>21</v>
      </c>
      <c r="D8" s="11" t="s">
        <v>22</v>
      </c>
      <c r="E8" s="9" t="s">
        <v>23</v>
      </c>
      <c r="F8" s="8">
        <v>1.0</v>
      </c>
      <c r="G8" s="8" t="s">
        <v>24</v>
      </c>
    </row>
    <row r="9" ht="21.0" customHeight="1">
      <c r="A9" s="12" t="s">
        <v>25</v>
      </c>
      <c r="B9" s="13" t="s">
        <v>9</v>
      </c>
      <c r="C9" s="14" t="s">
        <v>26</v>
      </c>
      <c r="D9" s="15" t="s">
        <v>27</v>
      </c>
      <c r="E9" s="13" t="s">
        <v>28</v>
      </c>
      <c r="F9" s="12">
        <v>1.0</v>
      </c>
      <c r="G9" s="12" t="s">
        <v>29</v>
      </c>
    </row>
    <row r="10" ht="21.0" customHeight="1">
      <c r="A10" s="8" t="s">
        <v>30</v>
      </c>
      <c r="B10" s="9" t="s">
        <v>9</v>
      </c>
      <c r="C10" s="10" t="s">
        <v>31</v>
      </c>
      <c r="D10" s="11" t="s">
        <v>32</v>
      </c>
      <c r="E10" s="9" t="s">
        <v>33</v>
      </c>
      <c r="F10" s="8">
        <v>2.0</v>
      </c>
      <c r="G10" s="8" t="s">
        <v>34</v>
      </c>
    </row>
    <row r="11" ht="21.0" customHeight="1">
      <c r="A11" s="12" t="s">
        <v>35</v>
      </c>
      <c r="B11" s="13" t="s">
        <v>9</v>
      </c>
      <c r="C11" s="14" t="s">
        <v>36</v>
      </c>
      <c r="D11" s="15" t="s">
        <v>37</v>
      </c>
      <c r="E11" s="13" t="s">
        <v>38</v>
      </c>
      <c r="F11" s="12">
        <v>1.0</v>
      </c>
      <c r="G11" s="12" t="s">
        <v>39</v>
      </c>
    </row>
    <row r="12" ht="21.0" customHeight="1">
      <c r="A12" s="8" t="s">
        <v>40</v>
      </c>
      <c r="B12" s="9" t="s">
        <v>9</v>
      </c>
      <c r="C12" s="10" t="s">
        <v>41</v>
      </c>
      <c r="D12" s="11" t="s">
        <v>42</v>
      </c>
      <c r="E12" s="9" t="s">
        <v>43</v>
      </c>
      <c r="F12" s="8">
        <v>1.0</v>
      </c>
      <c r="G12" s="8" t="s">
        <v>44</v>
      </c>
    </row>
    <row r="13" ht="24.0" customHeight="1">
      <c r="A13" s="6" t="s">
        <v>45</v>
      </c>
      <c r="B13" s="7"/>
      <c r="C13" s="7"/>
      <c r="D13" s="7"/>
      <c r="E13" s="7"/>
      <c r="F13" s="7"/>
      <c r="G13" s="7"/>
    </row>
    <row r="14" ht="21.0" customHeight="1">
      <c r="A14" s="8" t="s">
        <v>46</v>
      </c>
      <c r="B14" s="9" t="s">
        <v>45</v>
      </c>
      <c r="C14" s="10" t="s">
        <v>47</v>
      </c>
      <c r="D14" s="11" t="s">
        <v>48</v>
      </c>
      <c r="E14" s="9" t="s">
        <v>49</v>
      </c>
      <c r="F14" s="8">
        <v>1.0</v>
      </c>
      <c r="G14" s="8" t="s">
        <v>50</v>
      </c>
    </row>
    <row r="15" ht="21.0" customHeight="1">
      <c r="A15" s="12" t="s">
        <v>51</v>
      </c>
      <c r="B15" s="13" t="s">
        <v>45</v>
      </c>
      <c r="C15" s="14" t="s">
        <v>52</v>
      </c>
      <c r="D15" s="15" t="s">
        <v>53</v>
      </c>
      <c r="E15" s="13" t="s">
        <v>54</v>
      </c>
      <c r="F15" s="12">
        <v>1.0</v>
      </c>
      <c r="G15" s="12" t="s">
        <v>55</v>
      </c>
    </row>
    <row r="16" ht="21.0" customHeight="1">
      <c r="A16" s="8" t="s">
        <v>56</v>
      </c>
      <c r="B16" s="9" t="s">
        <v>45</v>
      </c>
      <c r="C16" s="10" t="s">
        <v>57</v>
      </c>
      <c r="D16" s="11" t="s">
        <v>58</v>
      </c>
      <c r="E16" s="9" t="s">
        <v>59</v>
      </c>
      <c r="F16" s="8">
        <v>1.0</v>
      </c>
      <c r="G16" s="8" t="s">
        <v>60</v>
      </c>
    </row>
    <row r="17" ht="21.0" customHeight="1">
      <c r="A17" s="12" t="s">
        <v>61</v>
      </c>
      <c r="B17" s="13" t="s">
        <v>45</v>
      </c>
      <c r="C17" s="14" t="s">
        <v>62</v>
      </c>
      <c r="D17" s="15" t="s">
        <v>63</v>
      </c>
      <c r="E17" s="13" t="s">
        <v>64</v>
      </c>
      <c r="F17" s="12">
        <v>1.0</v>
      </c>
      <c r="G17" s="12" t="s">
        <v>65</v>
      </c>
    </row>
    <row r="18" ht="21.0" customHeight="1">
      <c r="A18" s="8" t="s">
        <v>66</v>
      </c>
      <c r="B18" s="9" t="s">
        <v>45</v>
      </c>
      <c r="C18" s="10" t="s">
        <v>67</v>
      </c>
      <c r="D18" s="11" t="s">
        <v>68</v>
      </c>
      <c r="E18" s="9" t="s">
        <v>69</v>
      </c>
      <c r="F18" s="8">
        <v>1.0</v>
      </c>
      <c r="G18" s="8" t="s">
        <v>70</v>
      </c>
    </row>
    <row r="19" ht="21.0" customHeight="1">
      <c r="A19" s="12" t="s">
        <v>71</v>
      </c>
      <c r="B19" s="13" t="s">
        <v>45</v>
      </c>
      <c r="C19" s="14" t="s">
        <v>72</v>
      </c>
      <c r="D19" s="15" t="s">
        <v>73</v>
      </c>
      <c r="E19" s="13" t="s">
        <v>74</v>
      </c>
      <c r="F19" s="12">
        <v>1.0</v>
      </c>
      <c r="G19" s="12" t="s">
        <v>75</v>
      </c>
    </row>
    <row r="20" ht="24.0" customHeight="1">
      <c r="A20" s="6" t="s">
        <v>76</v>
      </c>
      <c r="B20" s="7"/>
      <c r="C20" s="7"/>
      <c r="D20" s="7"/>
      <c r="E20" s="7"/>
      <c r="F20" s="7"/>
      <c r="G20" s="7"/>
    </row>
    <row r="21" ht="21.0" customHeight="1">
      <c r="A21" s="12" t="s">
        <v>77</v>
      </c>
      <c r="B21" s="13" t="s">
        <v>76</v>
      </c>
      <c r="C21" s="14" t="s">
        <v>78</v>
      </c>
      <c r="D21" s="15" t="s">
        <v>79</v>
      </c>
      <c r="E21" s="13" t="s">
        <v>80</v>
      </c>
      <c r="F21" s="12">
        <v>1.0</v>
      </c>
      <c r="G21" s="12" t="s">
        <v>81</v>
      </c>
    </row>
    <row r="22" ht="21.0" customHeight="1">
      <c r="A22" s="8" t="s">
        <v>82</v>
      </c>
      <c r="B22" s="9" t="s">
        <v>76</v>
      </c>
      <c r="C22" s="10" t="s">
        <v>83</v>
      </c>
      <c r="D22" s="11" t="s">
        <v>84</v>
      </c>
      <c r="E22" s="9" t="s">
        <v>85</v>
      </c>
      <c r="F22" s="8">
        <v>1.0</v>
      </c>
      <c r="G22" s="8" t="s">
        <v>29</v>
      </c>
    </row>
    <row r="23" ht="21.0" customHeight="1">
      <c r="A23" s="12" t="s">
        <v>86</v>
      </c>
      <c r="B23" s="13" t="s">
        <v>76</v>
      </c>
      <c r="C23" s="14" t="s">
        <v>87</v>
      </c>
      <c r="D23" s="15" t="s">
        <v>88</v>
      </c>
      <c r="E23" s="13" t="s">
        <v>89</v>
      </c>
      <c r="F23" s="12">
        <v>1.0</v>
      </c>
      <c r="G23" s="12" t="s">
        <v>90</v>
      </c>
    </row>
    <row r="24" ht="21.0" customHeight="1">
      <c r="A24" s="8" t="s">
        <v>91</v>
      </c>
      <c r="B24" s="9" t="s">
        <v>76</v>
      </c>
      <c r="C24" s="10" t="s">
        <v>92</v>
      </c>
      <c r="D24" s="11" t="s">
        <v>93</v>
      </c>
      <c r="E24" s="9" t="s">
        <v>94</v>
      </c>
      <c r="F24" s="8">
        <v>1.0</v>
      </c>
      <c r="G24" s="8" t="s">
        <v>95</v>
      </c>
    </row>
    <row r="25" ht="24.0" customHeight="1">
      <c r="A25" s="6" t="s">
        <v>96</v>
      </c>
      <c r="B25" s="7"/>
      <c r="C25" s="7"/>
      <c r="D25" s="7"/>
      <c r="E25" s="7"/>
      <c r="F25" s="7"/>
      <c r="G25" s="7"/>
    </row>
    <row r="26" ht="21.0" customHeight="1">
      <c r="A26" s="8" t="s">
        <v>97</v>
      </c>
      <c r="B26" s="9" t="s">
        <v>98</v>
      </c>
      <c r="C26" s="10" t="s">
        <v>99</v>
      </c>
      <c r="D26" s="11" t="s">
        <v>100</v>
      </c>
      <c r="E26" s="9" t="s">
        <v>101</v>
      </c>
      <c r="F26" s="8">
        <v>1.0</v>
      </c>
      <c r="G26" s="8" t="s">
        <v>102</v>
      </c>
    </row>
    <row r="27" ht="21.0" customHeight="1">
      <c r="A27" s="12" t="s">
        <v>103</v>
      </c>
      <c r="B27" s="13" t="s">
        <v>98</v>
      </c>
      <c r="C27" s="14" t="s">
        <v>104</v>
      </c>
      <c r="D27" s="15" t="s">
        <v>105</v>
      </c>
      <c r="E27" s="13" t="s">
        <v>106</v>
      </c>
      <c r="F27" s="12">
        <v>1.0</v>
      </c>
      <c r="G27" s="12" t="s">
        <v>107</v>
      </c>
    </row>
    <row r="28" ht="21.0" customHeight="1">
      <c r="A28" s="8" t="s">
        <v>108</v>
      </c>
      <c r="B28" s="9" t="s">
        <v>98</v>
      </c>
      <c r="C28" s="10" t="s">
        <v>109</v>
      </c>
      <c r="D28" s="11" t="s">
        <v>110</v>
      </c>
      <c r="E28" s="9" t="s">
        <v>111</v>
      </c>
      <c r="F28" s="8">
        <v>1.0</v>
      </c>
      <c r="G28" s="8" t="s">
        <v>112</v>
      </c>
    </row>
    <row r="29" ht="21.0" customHeight="1">
      <c r="A29" s="12" t="s">
        <v>113</v>
      </c>
      <c r="B29" s="13" t="s">
        <v>98</v>
      </c>
      <c r="C29" s="14" t="s">
        <v>114</v>
      </c>
      <c r="D29" s="15" t="s">
        <v>115</v>
      </c>
      <c r="E29" s="13" t="s">
        <v>116</v>
      </c>
      <c r="F29" s="12">
        <v>1.0</v>
      </c>
      <c r="G29" s="12" t="s">
        <v>117</v>
      </c>
    </row>
    <row r="30" ht="21.0" customHeight="1">
      <c r="A30" s="8" t="s">
        <v>118</v>
      </c>
      <c r="B30" s="9" t="s">
        <v>98</v>
      </c>
      <c r="C30" s="10" t="s">
        <v>119</v>
      </c>
      <c r="D30" s="11" t="s">
        <v>120</v>
      </c>
      <c r="E30" s="9" t="s">
        <v>121</v>
      </c>
      <c r="F30" s="8">
        <v>1.0</v>
      </c>
      <c r="G30" s="8" t="s">
        <v>122</v>
      </c>
    </row>
    <row r="31" ht="21.0" customHeight="1">
      <c r="A31" s="12" t="s">
        <v>123</v>
      </c>
      <c r="B31" s="13" t="s">
        <v>98</v>
      </c>
      <c r="C31" s="14" t="s">
        <v>124</v>
      </c>
      <c r="D31" s="15" t="s">
        <v>125</v>
      </c>
      <c r="E31" s="13" t="s">
        <v>126</v>
      </c>
      <c r="F31" s="12">
        <v>1.0</v>
      </c>
      <c r="G31" s="12" t="s">
        <v>122</v>
      </c>
    </row>
    <row r="32" ht="21.0" customHeight="1">
      <c r="A32" s="8" t="s">
        <v>127</v>
      </c>
      <c r="B32" s="9" t="s">
        <v>98</v>
      </c>
      <c r="C32" s="10" t="s">
        <v>128</v>
      </c>
      <c r="D32" s="11" t="s">
        <v>129</v>
      </c>
      <c r="E32" s="9" t="s">
        <v>130</v>
      </c>
      <c r="F32" s="8">
        <v>5.0</v>
      </c>
      <c r="G32" s="8" t="s">
        <v>131</v>
      </c>
    </row>
    <row r="33" ht="21.0" customHeight="1">
      <c r="A33" s="12" t="s">
        <v>132</v>
      </c>
      <c r="B33" s="13" t="s">
        <v>98</v>
      </c>
      <c r="C33" s="14" t="s">
        <v>133</v>
      </c>
      <c r="D33" s="15" t="s">
        <v>134</v>
      </c>
      <c r="E33" s="13" t="s">
        <v>135</v>
      </c>
      <c r="F33" s="12">
        <v>1.0</v>
      </c>
      <c r="G33" s="12" t="s">
        <v>136</v>
      </c>
    </row>
    <row r="34" ht="24.75" customHeight="1">
      <c r="A34" s="16" t="s">
        <v>137</v>
      </c>
      <c r="B34" s="17"/>
      <c r="C34" s="17"/>
      <c r="D34" s="17"/>
      <c r="E34" s="18"/>
      <c r="F34" s="19" t="str">
        <f>SUM(F5:F33)</f>
        <v>30</v>
      </c>
      <c r="G34" s="20"/>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7">
    <mergeCell ref="A13:G13"/>
    <mergeCell ref="A34:E34"/>
    <mergeCell ref="A1:G1"/>
    <mergeCell ref="A20:G20"/>
    <mergeCell ref="A2:G2"/>
    <mergeCell ref="A25:G25"/>
    <mergeCell ref="A5:G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5" width="25.0"/>
    <col customWidth="1" min="6" max="11" width="8.71"/>
  </cols>
  <sheetData>
    <row r="1" ht="34.5" customHeight="1">
      <c r="A1" s="21" t="s">
        <v>138</v>
      </c>
      <c r="B1" s="2"/>
      <c r="C1" s="2"/>
      <c r="D1" s="2"/>
      <c r="E1" s="3"/>
    </row>
    <row r="3">
      <c r="A3" s="22" t="s">
        <v>139</v>
      </c>
    </row>
    <row r="4" ht="36.0" customHeight="1">
      <c r="A4" s="23" t="s">
        <v>140</v>
      </c>
      <c r="B4" s="24" t="s">
        <v>141</v>
      </c>
    </row>
    <row r="5" ht="36.0" customHeight="1">
      <c r="A5" s="23" t="s">
        <v>142</v>
      </c>
      <c r="B5" s="24" t="s">
        <v>143</v>
      </c>
    </row>
    <row r="6" ht="36.0" customHeight="1">
      <c r="A6" s="23" t="s">
        <v>144</v>
      </c>
      <c r="B6" s="24" t="s">
        <v>145</v>
      </c>
    </row>
    <row r="7" ht="36.0" customHeight="1">
      <c r="A7" s="23" t="s">
        <v>146</v>
      </c>
      <c r="B7" s="24" t="s">
        <v>147</v>
      </c>
    </row>
    <row r="8" ht="36.0" customHeight="1">
      <c r="A8" s="23" t="s">
        <v>148</v>
      </c>
      <c r="B8" s="24" t="s">
        <v>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6">
    <mergeCell ref="B8:E8"/>
    <mergeCell ref="B4:E4"/>
    <mergeCell ref="B6:E6"/>
    <mergeCell ref="B7:E7"/>
    <mergeCell ref="A1:E1"/>
    <mergeCell ref="B5:E5"/>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2026-10-12T06:34:03Z</dcterms:created>
  <dc:creator>openpyxl</dc:creator>
  <dcterms:modified xsi:type="dcterms:W3CDTF">2026-10-12T06:34:03Z</dcterms:modified>
</cp:coreProperties>
</file>