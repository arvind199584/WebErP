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hindra 265 DI Spares Catalog" sheetId="1" r:id="rId4"/>
    <sheet state="visible" name="Service Schedule &amp; Capacities" sheetId="2" r:id="rId5"/>
  </sheets>
  <definedNames/>
  <calcPr/>
</workbook>
</file>

<file path=xl/sharedStrings.xml><?xml version="1.0" encoding="utf-8"?>
<sst xmlns="http://schemas.openxmlformats.org/spreadsheetml/2006/main" count="264" uniqueCount="227">
  <si>
    <t>MAHINDRA 265 DI TRACTOR (30 HP RANGE) - SPARE PARTS CATALOG &amp; INDENT BOM</t>
  </si>
  <si>
    <t>Mahindra 265 DI / Bhoomiputra Series | Engine, Transmission, Hydraulic &amp; Steering Sub-Assemblies</t>
  </si>
  <si>
    <t>Item No.</t>
  </si>
  <si>
    <t>Assembly Group</t>
  </si>
  <si>
    <t>Part / Component Description</t>
  </si>
  <si>
    <t>Mahindra OEM Part No. / Ref.</t>
  </si>
  <si>
    <t>Technical Specification / Details</t>
  </si>
  <si>
    <t>Qty / Unit</t>
  </si>
  <si>
    <t>Maintenance Category</t>
  </si>
  <si>
    <t>Engine Components &amp; Cooling System (3-Cylinder 2048cc)</t>
  </si>
  <si>
    <t>1.01</t>
  </si>
  <si>
    <t>Engine Components &amp; Cooling System</t>
  </si>
  <si>
    <t>Engine Oil Filter Element (Spin-on)</t>
  </si>
  <si>
    <t>005553198R91 / 005554165R91</t>
  </si>
  <si>
    <t>Full flow spin-on filter cartridge, M20x1.5 thread</t>
  </si>
  <si>
    <t>Routine Consumable</t>
  </si>
  <si>
    <t>1.02</t>
  </si>
  <si>
    <t>Primary Fuel Filter (Cloth/Felt Insert)</t>
  </si>
  <si>
    <t>005554201R91 / F002H20340</t>
  </si>
  <si>
    <t>Bosch/MICO standard pre-filter insert</t>
  </si>
  <si>
    <t>1.03</t>
  </si>
  <si>
    <t>Secondary Fuel Filter (Paper Insert)</t>
  </si>
  <si>
    <t>005554202R91 / F002H20341</t>
  </si>
  <si>
    <t>Bosch/MICO micro-paper secondary filter insert</t>
  </si>
  <si>
    <t>1.04</t>
  </si>
  <si>
    <t>Oil Bath Air Cleaner Inner Mesh / Bowl</t>
  </si>
  <si>
    <t>005551320R91</t>
  </si>
  <si>
    <t>Oil bath type cleaner bottom oil pan &amp; wire mesh</t>
  </si>
  <si>
    <t>Air Intake Sub-Assembly</t>
  </si>
  <si>
    <t>1.05</t>
  </si>
  <si>
    <t>Cylinder Head Gasket (3-Cyl)</t>
  </si>
  <si>
    <t>005552431R92</t>
  </si>
  <si>
    <t>Multi-layer steel / composite head gasket for 2048cc</t>
  </si>
  <si>
    <t>Engine Overhaul</t>
  </si>
  <si>
    <t>1.06</t>
  </si>
  <si>
    <t>Water Pump Assembly with Pulley</t>
  </si>
  <si>
    <t>005553655R91</t>
  </si>
  <si>
    <t>Cast iron centrifugal cooling water pump assembly</t>
  </si>
  <si>
    <t>Cooling Sub-Assembly</t>
  </si>
  <si>
    <t>1.07</t>
  </si>
  <si>
    <t>Radiator Fan V-Belt</t>
  </si>
  <si>
    <t>005551988R91 / AVX10x1050</t>
  </si>
  <si>
    <t>Heavy-duty raw edge cogged V-belt (10x1050 mm)</t>
  </si>
  <si>
    <t>Drive Belt / Wear</t>
  </si>
  <si>
    <t>1.08</t>
  </si>
  <si>
    <t>Engine Thermostat Valve (82°C)</t>
  </si>
  <si>
    <t>005551670R91</t>
  </si>
  <si>
    <t>Wax-pellet thermostat, opening temp 82°C</t>
  </si>
  <si>
    <t>Cooling System</t>
  </si>
  <si>
    <t>1.09</t>
  </si>
  <si>
    <t>Radiator Hose Kit (Upper &amp; Lower)</t>
  </si>
  <si>
    <t>005553890R91</t>
  </si>
  <si>
    <t>Reinforced EPDM molded coolant radiator hoses</t>
  </si>
  <si>
    <t>Clutch &amp; Transmission (8 Forward + 2 Reverse Collar Shift)</t>
  </si>
  <si>
    <t>2.01</t>
  </si>
  <si>
    <t>Clutch &amp; Transmission</t>
  </si>
  <si>
    <t>Clutch Driven Plate (Friction Disc)</t>
  </si>
  <si>
    <t>005554760R91</t>
  </si>
  <si>
    <t>280 mm (11") heavy-duty woven/ceramic lining disc</t>
  </si>
  <si>
    <t>Clutch Transmission</t>
  </si>
  <si>
    <t>2.02</t>
  </si>
  <si>
    <t>Clutch Pressure Plate Assembly</t>
  </si>
  <si>
    <t>005554755R91</t>
  </si>
  <si>
    <t>Diaphragm / coil spring heavy-duty pressure plate</t>
  </si>
  <si>
    <t>2.03</t>
  </si>
  <si>
    <t>Clutch Release Bearing (Throw-out)</t>
  </si>
  <si>
    <t>005551120R91</t>
  </si>
  <si>
    <t>Self-aligning thrust ball bearing with release sleeve</t>
  </si>
  <si>
    <t>Bearing Wear</t>
  </si>
  <si>
    <t>2.04</t>
  </si>
  <si>
    <t>PTO Shift Collar / Sliding Dog</t>
  </si>
  <si>
    <t>005552881R91</t>
  </si>
  <si>
    <t>Hardened steel splined engagement sliding collar</t>
  </si>
  <si>
    <t>Transmission Internal</t>
  </si>
  <si>
    <t>2.05</t>
  </si>
  <si>
    <t>Transmission Countershaft Bearing</t>
  </si>
  <si>
    <t>30207 / 32207</t>
  </si>
  <si>
    <t>Taper roller bearing for main countershaft (35x72x18 mm)</t>
  </si>
  <si>
    <t>Bearing / Overhaul</t>
  </si>
  <si>
    <t>2.06</t>
  </si>
  <si>
    <t>Differential Crown Wheel &amp; Bevel Pinion</t>
  </si>
  <si>
    <t>005553940R91</t>
  </si>
  <si>
    <t>Matched spiral bevel ring gear &amp; pinion shaft set (6/37T)</t>
  </si>
  <si>
    <t>Rear Axle / Differential</t>
  </si>
  <si>
    <t>2.07</t>
  </si>
  <si>
    <t>Rear Axle Outer Oil Seal</t>
  </si>
  <si>
    <t>005551845R91</t>
  </si>
  <si>
    <t>Double lip heavy-duty radial shaft oil seal (65x90x13 mm)</t>
  </si>
  <si>
    <t>Preventative Seal</t>
  </si>
  <si>
    <t>Hydraulic Lift &amp; 3-Point Linkage (1200 kgf Capacity)</t>
  </si>
  <si>
    <t>3.01</t>
  </si>
  <si>
    <t>Hydraulic Lift &amp; 3-Point Linkage</t>
  </si>
  <si>
    <t>Hydraulic Lift Pump Assembly</t>
  </si>
  <si>
    <t>005556210R91</t>
  </si>
  <si>
    <t>External gear-type hydraulic pump, 16–18 LPM flow</t>
  </si>
  <si>
    <t>Hydraulic Power</t>
  </si>
  <si>
    <t>3.02</t>
  </si>
  <si>
    <t>Hydraulic Return / Suction Strainer</t>
  </si>
  <si>
    <t>005555430R91</t>
  </si>
  <si>
    <t>Cleanable brass wire mesh internal suction filter</t>
  </si>
  <si>
    <t>Hydraulic Consumable</t>
  </si>
  <si>
    <t>3.03</t>
  </si>
  <si>
    <t>Hydraulic Cylinder Lift Piston Seal Kit</t>
  </si>
  <si>
    <t>005556780R91</t>
  </si>
  <si>
    <t>Piston U-cup seal, O-rings &amp; backup rings (70mm bore)</t>
  </si>
  <si>
    <t>Hydraulic Repair Kit</t>
  </si>
  <si>
    <t>3.04</t>
  </si>
  <si>
    <t>Hydraulic Spool Control Valve Assembly</t>
  </si>
  <si>
    <t>005556330R91</t>
  </si>
  <si>
    <t>Automatic position &amp; draft control spool assembly</t>
  </si>
  <si>
    <t>Hydraulic Control</t>
  </si>
  <si>
    <t>3.05</t>
  </si>
  <si>
    <t>Lower Lift Link Arms (LH &amp; RH)</t>
  </si>
  <si>
    <t>005557110R91</t>
  </si>
  <si>
    <t>Category-II forged steel lower draft arms</t>
  </si>
  <si>
    <t>3-Point Linkage</t>
  </si>
  <si>
    <t>3.06</t>
  </si>
  <si>
    <t>Adjustable Lift Rod / Leveling Box</t>
  </si>
  <si>
    <t>005557220R91</t>
  </si>
  <si>
    <t>Screw-type threaded vertical lift leveling assembly</t>
  </si>
  <si>
    <t>3.07</t>
  </si>
  <si>
    <t>Top Link Assembly with Turnbuckle</t>
  </si>
  <si>
    <t>005557340R91</t>
  </si>
  <si>
    <t>Category-II adjustable tubular top link with ball joints</t>
  </si>
  <si>
    <t>3.08</t>
  </si>
  <si>
    <t>Stabilizer Stay / Check Chains</t>
  </si>
  <si>
    <t>005557490R91</t>
  </si>
  <si>
    <t>Lower link check chain assembly with D-shackle &amp; pin</t>
  </si>
  <si>
    <t>Linkage Hardware</t>
  </si>
  <si>
    <t>Brakes, Steering &amp; Front Axle Assembly</t>
  </si>
  <si>
    <t>4.01</t>
  </si>
  <si>
    <t>Dry Disc / OIB Brake Lining Plates</t>
  </si>
  <si>
    <t>005558120R91</t>
  </si>
  <si>
    <t>Molded friction disc pair for internal mechanical brake</t>
  </si>
  <si>
    <t>Braking System</t>
  </si>
  <si>
    <t>4.02</t>
  </si>
  <si>
    <t>Brake Actuating Steel Balls &amp; Return Springs</t>
  </si>
  <si>
    <t>005558180R91</t>
  </si>
  <si>
    <t>Hardened steel actuator balls (dia 7/8") &amp; return springs</t>
  </si>
  <si>
    <t>Braking Hardware</t>
  </si>
  <si>
    <t>4.03</t>
  </si>
  <si>
    <t>Steering Gear Box Worm &amp; Sector Shaft</t>
  </si>
  <si>
    <t>005559310R91</t>
  </si>
  <si>
    <t>Mechanical manual worm and roller / peg steering assembly</t>
  </si>
  <si>
    <t>Steering Mechanism</t>
  </si>
  <si>
    <t>4.04</t>
  </si>
  <si>
    <t>Tie Rod End Ball Joint Assembly (LH/RH)</t>
  </si>
  <si>
    <t>005559450R91</t>
  </si>
  <si>
    <t>M18/M20 ball joint with grease nipple &amp; castle nut</t>
  </si>
  <si>
    <t>Steering Linkage</t>
  </si>
  <si>
    <t>4.05</t>
  </si>
  <si>
    <t>Front Wheel Hub Bearings (Inner &amp; Outer)</t>
  </si>
  <si>
    <t>30205 / 30206</t>
  </si>
  <si>
    <t>Taper roller bearings for front steer axle spindle</t>
  </si>
  <si>
    <t>Front Axle Bearings</t>
  </si>
  <si>
    <t>4.06</t>
  </si>
  <si>
    <t>Front Spindle King Pin &amp; Bronze Bushes</t>
  </si>
  <si>
    <t>005559610R91</t>
  </si>
  <si>
    <t>Hardened kingpin shaft with flanged bronze pivot bushes</t>
  </si>
  <si>
    <t>Front Axle Pivot</t>
  </si>
  <si>
    <t>Electrical System &amp; Instrumentation (12V System)</t>
  </si>
  <si>
    <t>5.01</t>
  </si>
  <si>
    <t>Electrical System &amp; Instrumentation</t>
  </si>
  <si>
    <t>Starter Motor Assembly (12V, 2.5 kW)</t>
  </si>
  <si>
    <t>005550110R91 / Lucas-TVS</t>
  </si>
  <si>
    <t>12V pre-engaged starter motor with solenoid switch</t>
  </si>
  <si>
    <t>Electrical Starting</t>
  </si>
  <si>
    <t>5.02</t>
  </si>
  <si>
    <t>Alternator Assembly (12V, 36A / 45A)</t>
  </si>
  <si>
    <t>005550220R91 / Lucas-TVS</t>
  </si>
  <si>
    <t>Internal regulator 12V alternator with single groove pulley</t>
  </si>
  <si>
    <t>Electrical Charging</t>
  </si>
  <si>
    <t>5.03</t>
  </si>
  <si>
    <t>Combination Meter / Instrument Cluster</t>
  </si>
  <si>
    <t>005550450R91</t>
  </si>
  <si>
    <t>Tachometer, hour meter, fuel gauge &amp; temperature indicator</t>
  </si>
  <si>
    <t>Instrumentation</t>
  </si>
  <si>
    <t>5.04</t>
  </si>
  <si>
    <t>Headlamp Assembly with Housing (Round)</t>
  </si>
  <si>
    <t>005550560R91</t>
  </si>
  <si>
    <t>12V 45/40W halogen round front cowl headlamp</t>
  </si>
  <si>
    <t>Lighting</t>
  </si>
  <si>
    <t>TOTAL INDENT / BOM LINE ITEMS</t>
  </si>
  <si>
    <t>MAHINDRA 265 DI - FLUID CAPACITIES &amp; PERIODIC SERVICE SCHEDULE</t>
  </si>
  <si>
    <t>System Fluid Specifications &amp; Capacities</t>
  </si>
  <si>
    <t>Aggregate / System</t>
  </si>
  <si>
    <t>Recommended Grade / Specification</t>
  </si>
  <si>
    <t>Total Capacity (Liters)</t>
  </si>
  <si>
    <t>Service Interval</t>
  </si>
  <si>
    <t>Engine Sump Oil</t>
  </si>
  <si>
    <t>15W-40 API CH-4 / CI-4 (Mahindra M-Star Super Engine Oil)</t>
  </si>
  <si>
    <t>6.0 L</t>
  </si>
  <si>
    <t>Every 250 Hours</t>
  </si>
  <si>
    <t>Transmission &amp; Differential</t>
  </si>
  <si>
    <t>EP-80W-90 / Universal Tractor Transmission Oil (UTTO)</t>
  </si>
  <si>
    <t>20.0 L</t>
  </si>
  <si>
    <t>Every 1000 Hours</t>
  </si>
  <si>
    <t>Hydraulic Lift Reservoir</t>
  </si>
  <si>
    <t>Separate / Combined UTTO Hydraulic Fluid (ISO VG 68)</t>
  </si>
  <si>
    <t>18.0 L - 20.0 L</t>
  </si>
  <si>
    <t>Cooling System (Radiator)</t>
  </si>
  <si>
    <t>Soft Water + Anti-freeze / Rust Inhibitor Coolant (50:50)</t>
  </si>
  <si>
    <t>7.5 L</t>
  </si>
  <si>
    <t>Every 2 Years / 1500 Hours</t>
  </si>
  <si>
    <t>Steering Gear Box (Manual)</t>
  </si>
  <si>
    <t>EP-90 / EP-140 Gear Oil</t>
  </si>
  <si>
    <t>0.75 L</t>
  </si>
  <si>
    <t>Top up every 250 Hours</t>
  </si>
  <si>
    <t>Air Cleaner Bowl (Oil Bath)</t>
  </si>
  <si>
    <t>Engine Oil (Clean 15W-40)</t>
  </si>
  <si>
    <t>0.5 L</t>
  </si>
  <si>
    <t>Every 50 Hours (or daily in dust)</t>
  </si>
  <si>
    <t>Fuel Tank Capacity</t>
  </si>
  <si>
    <t>High-Speed Diesel (HSD)</t>
  </si>
  <si>
    <t>45.0 L</t>
  </si>
  <si>
    <t>Refill as required</t>
  </si>
  <si>
    <t>Standard Workshop Maintenance Protocols</t>
  </si>
  <si>
    <t>1. First Mandatory 50-Hour Service</t>
  </si>
  <si>
    <t>Drain initial factory engine oil; replace spin-on oil filter; wash air cleaner wire mesh and refill oil bath bowl; clean primary fuel filter sediment bowl; retorque wheel hub nuts.</t>
  </si>
  <si>
    <t>2. Every 250 Hours (Routine Service)</t>
  </si>
  <si>
    <t>Renew engine oil (15W-40); replace spin-on engine oil filter; replace primary &amp; secondary fuel filter elements; inspect fan belt tension (deflection 10–12 mm); grease all chassis nipples (kingpins, steering drag link, lift arms).</t>
  </si>
  <si>
    <t>3. Fuel System Bleeding Procedure</t>
  </si>
  <si>
    <t>Whenever fuel filters are changed or tractor runs out of diesel: open vent screws on Bosch secondary filter head and pump the hand primer until bubble-free diesel flows; loosen delivery pipe nuts at injectors and crank engine until fuel spurts cleanly.</t>
  </si>
  <si>
    <t>4. Hydraulic Care &amp; Strainer Cleaning</t>
  </si>
  <si>
    <t>Every 500 hours, remove and wash the brass mesh suction strainer in diesel. Replace the lift cylinder O-ring and backup ring if implement drops slowly under position control lock.</t>
  </si>
  <si>
    <t>5. Clutch Pedal Free Play</t>
  </si>
  <si>
    <t>Maintain 25 mm to 30 mm clutch pedal free play. Lack of free play leads to continuous contact on the release bearing and premature slip wear on the 11" friction lining disc.</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</si>
</sst>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name val="Arial"/>
      <scheme val="minor"/>
    </font>
    <font>
      <b/>
      <sz val="13.0"/>
      <color rgb="FFFFFFFF"/>
      <name val="Calibri"/>
    </font>
    <font/>
    <font>
      <i/>
      <sz val="10.0"/>
      <color rgb="FF333333"/>
      <name val="Calibri"/>
    </font>
    <font>
      <b/>
      <sz val="11.0"/>
      <color rgb="FFFFFFFF"/>
      <name val="Calibri"/>
    </font>
    <font>
      <b/>
      <sz val="11.0"/>
      <color rgb="FF1F4E79"/>
      <name val="Calibri"/>
    </font>
    <font>
      <sz val="10.0"/>
      <name val="Calibri"/>
    </font>
    <font>
      <b/>
      <sz val="10.0"/>
      <name val="Calibri"/>
    </font>
    <font>
      <b/>
      <sz val="9.0"/>
      <color rgb="FF1F4E79"/>
      <name val="Consolas"/>
    </font>
    <font>
      <sz val="11.0"/>
      <color/>
      <name val="Calibri"/>
    </font>
  </fonts>
  <fills count="8">
    <fill>
      <patternFill patternType="none"/>
    </fill>
    <fill>
      <patternFill patternType="lightGray"/>
    </fill>
    <fill>
      <patternFill patternType="solid">
        <fgColor rgb="FF1B365D"/>
        <bgColor rgb="FF1B365D"/>
      </patternFill>
    </fill>
    <fill>
      <patternFill patternType="solid">
        <fgColor rgb="FF1F4E79"/>
        <bgColor rgb="FF1F4E79"/>
      </patternFill>
    </fill>
    <fill>
      <patternFill patternType="solid">
        <fgColor rgb="FFD9E1F2"/>
        <bgColor rgb="FFD9E1F2"/>
      </patternFill>
    </fill>
    <fill>
      <patternFill patternType="solid">
        <fgColor rgb="FFF2F5F9"/>
        <bgColor rgb="FFF2F5F9"/>
      </patternFill>
    </fill>
    <fill>
      <patternFill patternType="solid">
        <fgColor rgb="FFE9EEF4"/>
        <bgColor rgb="FFE9EEF4"/>
      </patternFill>
    </fill>
    <fill>
      <patternFill patternType="solid">
        <fgColor rgb="FF2F5597"/>
        <bgColor rgb="FF2F5597"/>
      </patternFill>
    </fill>
  </fills>
  <borders count="11">
    <border/>
    <border>
      <left/>
      <top/>
      <bottom/>
    </border>
    <border>
      <top/>
      <bottom/>
    </border>
    <border>
      <right/>
      <top/>
      <bottom/>
    </border>
    <border>
      <left style="thin">
        <color rgb="FFD9D9D9"/>
      </left>
      <right style="thin">
        <color rgb="FFD9D9D9"/>
      </right>
      <top style="thin">
        <color rgb="FFD9D9D9"/>
      </top>
      <bottom style="medium">
        <color rgb="FF1F4E7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medium">
        <color rgb="FF1F4E79"/>
      </top>
      <bottom style="medium">
        <color rgb="FF1F4E79"/>
      </bottom>
    </border>
    <border>
      <top style="medium">
        <color rgb="FF1F4E79"/>
      </top>
      <bottom style="medium">
        <color rgb="FF1F4E79"/>
      </bottom>
    </border>
    <border>
      <right style="thin">
        <color rgb="FFD9D9D9"/>
      </right>
      <top style="medium">
        <color rgb="FF1F4E79"/>
      </top>
      <bottom style="medium">
        <color rgb="FF1F4E79"/>
      </bottom>
    </border>
    <border>
      <left style="thin">
        <color rgb="FFD9D9D9"/>
      </left>
      <right style="thin">
        <color rgb="FFD9D9D9"/>
      </right>
      <top style="medium">
        <color rgb="FF1F4E79"/>
      </top>
      <bottom style="medium">
        <color rgb="FF1F4E7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vertical="center"/>
    </xf>
    <xf borderId="4" fillId="3" fontId="4" numFmtId="0" xfId="0" applyAlignment="1" applyBorder="1" applyFill="1" applyFont="1">
      <alignment horizontal="center" shrinkToFit="0" vertical="center" wrapText="1"/>
    </xf>
    <xf borderId="5" fillId="4" fontId="5" numFmtId="0" xfId="0" applyAlignment="1" applyBorder="1" applyFill="1" applyFont="1">
      <alignment horizontal="left" vertical="center"/>
    </xf>
    <xf borderId="5" fillId="0" fontId="2" numFmtId="0" xfId="0" applyBorder="1" applyFont="1"/>
    <xf borderId="6" fillId="5" fontId="6" numFmtId="0" xfId="0" applyAlignment="1" applyBorder="1" applyFill="1" applyFont="1">
      <alignment horizontal="center" vertical="center"/>
    </xf>
    <xf borderId="6" fillId="5" fontId="6" numFmtId="0" xfId="0" applyAlignment="1" applyBorder="1" applyFill="1" applyFont="1">
      <alignment horizontal="left" vertical="center"/>
    </xf>
    <xf borderId="6" fillId="5" fontId="7" numFmtId="0" xfId="0" applyAlignment="1" applyBorder="1" applyFill="1" applyFont="1">
      <alignment horizontal="left" vertical="center"/>
    </xf>
    <xf borderId="6" fillId="5" fontId="8" numFmtId="0" xfId="0" applyAlignment="1" applyBorder="1" applyFill="1" applyFont="1">
      <alignment horizontal="left" vertical="center"/>
    </xf>
    <xf borderId="6" fillId="0" fontId="6" numFmtId="0" xfId="0" applyAlignment="1" applyBorder="1" applyFont="1">
      <alignment horizontal="center" vertical="center"/>
    </xf>
    <xf borderId="6" fillId="0" fontId="6" numFmtId="0" xfId="0" applyAlignment="1" applyBorder="1" applyFont="1">
      <alignment horizontal="left" vertical="center"/>
    </xf>
    <xf borderId="6" fillId="0" fontId="7" numFmtId="0" xfId="0" applyAlignment="1" applyBorder="1" applyFont="1">
      <alignment horizontal="left" vertical="center"/>
    </xf>
    <xf borderId="6" fillId="0" fontId="8" numFmtId="0" xfId="0" applyAlignment="1" applyBorder="1" applyFont="1">
      <alignment horizontal="left" vertical="center"/>
    </xf>
    <xf borderId="7" fillId="6" fontId="5" numFmtId="0" xfId="0" applyAlignment="1" applyBorder="1" applyFill="1" applyFont="1">
      <alignment horizontal="right" vertical="center"/>
    </xf>
    <xf borderId="8" fillId="0" fontId="2" numFmtId="0" xfId="0" applyBorder="1" applyFont="1"/>
    <xf borderId="9" fillId="0" fontId="2" numFmtId="0" xfId="0" applyBorder="1" applyFont="1"/>
    <xf borderId="10" fillId="6" fontId="5" numFmtId="0" xfId="0" applyAlignment="1" applyBorder="1" applyFill="1" applyFont="1">
      <alignment horizontal="center" vertical="center"/>
    </xf>
    <xf borderId="10" fillId="6" fontId="9" numFmtId="0" xfId="0" applyBorder="1" applyFill="1" applyFont="1"/>
    <xf borderId="1" fillId="3" fontId="1" numFmtId="0" xfId="0" applyAlignment="1" applyBorder="1" applyFill="1" applyFont="1">
      <alignment horizontal="center" vertical="center"/>
    </xf>
    <xf borderId="0" fillId="0" fontId="5" numFmtId="0" xfId="0" applyFont="1"/>
    <xf borderId="6" fillId="7" fontId="4" numFmtId="0" xfId="0" applyAlignment="1" applyBorder="1" applyFill="1" applyFont="1">
      <alignment horizontal="center" vertical="center"/>
    </xf>
    <xf borderId="6" fillId="0" fontId="7" numFmtId="0" xfId="0" applyBorder="1" applyFont="1"/>
    <xf borderId="6" fillId="0" fontId="6" numFmtId="0" xfId="0" applyBorder="1" applyFont="1"/>
    <xf borderId="6" fillId="5" fontId="7" numFmtId="0" xfId="0" applyBorder="1" applyFill="1" applyFont="1"/>
    <xf borderId="6" fillId="5" fontId="6" numFmtId="0" xfId="0" applyBorder="1" applyFill="1" applyFont="1"/>
    <xf borderId="0" fillId="0" fontId="7" numFmtId="0" xfId="0" applyAlignment="1" applyFont="1">
      <alignment vertical="top"/>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30.0"/>
    <col customWidth="1" min="3" max="3" width="38.0"/>
    <col customWidth="1" min="4" max="4" width="28.0"/>
    <col customWidth="1" min="5" max="5" width="46.0"/>
    <col customWidth="1" min="6" max="6" width="12.0"/>
    <col customWidth="1" min="7" max="7" width="24.0"/>
    <col customWidth="1" min="8" max="11" width="8.71"/>
  </cols>
  <sheetData>
    <row r="1" ht="39.75" customHeight="1">
      <c r="A1" s="1" t="s">
        <v>0</v>
      </c>
      <c r="B1" s="2"/>
      <c r="C1" s="2"/>
      <c r="D1" s="2"/>
      <c r="E1" s="2"/>
      <c r="F1" s="2"/>
      <c r="G1" s="3"/>
    </row>
    <row r="2" ht="19.5" customHeight="1">
      <c r="A2" s="4" t="s">
        <v>1</v>
      </c>
    </row>
    <row r="4" ht="27.75" customHeight="1">
      <c r="A4" s="5" t="s">
        <v>2</v>
      </c>
      <c r="B4" s="5" t="s">
        <v>3</v>
      </c>
      <c r="C4" s="5" t="s">
        <v>4</v>
      </c>
      <c r="D4" s="5" t="s">
        <v>5</v>
      </c>
      <c r="E4" s="5" t="s">
        <v>6</v>
      </c>
      <c r="F4" s="5" t="s">
        <v>7</v>
      </c>
      <c r="G4" s="5" t="s">
        <v>8</v>
      </c>
    </row>
    <row r="5" ht="24.0" customHeight="1">
      <c r="A5" s="6" t="s">
        <v>9</v>
      </c>
      <c r="B5" s="7"/>
      <c r="C5" s="7"/>
      <c r="D5" s="7"/>
      <c r="E5" s="7"/>
      <c r="F5" s="7"/>
      <c r="G5" s="7"/>
    </row>
    <row r="6" ht="21.0" customHeight="1">
      <c r="A6" s="8" t="s">
        <v>10</v>
      </c>
      <c r="B6" s="9" t="s">
        <v>11</v>
      </c>
      <c r="C6" s="10" t="s">
        <v>12</v>
      </c>
      <c r="D6" s="11" t="s">
        <v>13</v>
      </c>
      <c r="E6" s="9" t="s">
        <v>14</v>
      </c>
      <c r="F6" s="8">
        <v>1.0</v>
      </c>
      <c r="G6" s="8" t="s">
        <v>15</v>
      </c>
    </row>
    <row r="7" ht="21.0" customHeight="1">
      <c r="A7" s="12" t="s">
        <v>16</v>
      </c>
      <c r="B7" s="13" t="s">
        <v>11</v>
      </c>
      <c r="C7" s="14" t="s">
        <v>17</v>
      </c>
      <c r="D7" s="15" t="s">
        <v>18</v>
      </c>
      <c r="E7" s="13" t="s">
        <v>19</v>
      </c>
      <c r="F7" s="12">
        <v>1.0</v>
      </c>
      <c r="G7" s="12" t="s">
        <v>15</v>
      </c>
    </row>
    <row r="8" ht="21.0" customHeight="1">
      <c r="A8" s="8" t="s">
        <v>20</v>
      </c>
      <c r="B8" s="9" t="s">
        <v>11</v>
      </c>
      <c r="C8" s="10" t="s">
        <v>21</v>
      </c>
      <c r="D8" s="11" t="s">
        <v>22</v>
      </c>
      <c r="E8" s="9" t="s">
        <v>23</v>
      </c>
      <c r="F8" s="8">
        <v>1.0</v>
      </c>
      <c r="G8" s="8" t="s">
        <v>15</v>
      </c>
    </row>
    <row r="9" ht="21.0" customHeight="1">
      <c r="A9" s="12" t="s">
        <v>24</v>
      </c>
      <c r="B9" s="13" t="s">
        <v>11</v>
      </c>
      <c r="C9" s="14" t="s">
        <v>25</v>
      </c>
      <c r="D9" s="15" t="s">
        <v>26</v>
      </c>
      <c r="E9" s="13" t="s">
        <v>27</v>
      </c>
      <c r="F9" s="12">
        <v>1.0</v>
      </c>
      <c r="G9" s="12" t="s">
        <v>28</v>
      </c>
    </row>
    <row r="10" ht="21.0" customHeight="1">
      <c r="A10" s="8" t="s">
        <v>29</v>
      </c>
      <c r="B10" s="9" t="s">
        <v>11</v>
      </c>
      <c r="C10" s="10" t="s">
        <v>30</v>
      </c>
      <c r="D10" s="11" t="s">
        <v>31</v>
      </c>
      <c r="E10" s="9" t="s">
        <v>32</v>
      </c>
      <c r="F10" s="8">
        <v>1.0</v>
      </c>
      <c r="G10" s="8" t="s">
        <v>33</v>
      </c>
    </row>
    <row r="11" ht="21.0" customHeight="1">
      <c r="A11" s="12" t="s">
        <v>34</v>
      </c>
      <c r="B11" s="13" t="s">
        <v>11</v>
      </c>
      <c r="C11" s="14" t="s">
        <v>35</v>
      </c>
      <c r="D11" s="15" t="s">
        <v>36</v>
      </c>
      <c r="E11" s="13" t="s">
        <v>37</v>
      </c>
      <c r="F11" s="12">
        <v>1.0</v>
      </c>
      <c r="G11" s="12" t="s">
        <v>38</v>
      </c>
    </row>
    <row r="12" ht="21.0" customHeight="1">
      <c r="A12" s="8" t="s">
        <v>39</v>
      </c>
      <c r="B12" s="9" t="s">
        <v>11</v>
      </c>
      <c r="C12" s="10" t="s">
        <v>40</v>
      </c>
      <c r="D12" s="11" t="s">
        <v>41</v>
      </c>
      <c r="E12" s="9" t="s">
        <v>42</v>
      </c>
      <c r="F12" s="8">
        <v>1.0</v>
      </c>
      <c r="G12" s="8" t="s">
        <v>43</v>
      </c>
    </row>
    <row r="13" ht="21.0" customHeight="1">
      <c r="A13" s="12" t="s">
        <v>44</v>
      </c>
      <c r="B13" s="13" t="s">
        <v>11</v>
      </c>
      <c r="C13" s="14" t="s">
        <v>45</v>
      </c>
      <c r="D13" s="15" t="s">
        <v>46</v>
      </c>
      <c r="E13" s="13" t="s">
        <v>47</v>
      </c>
      <c r="F13" s="12">
        <v>1.0</v>
      </c>
      <c r="G13" s="12" t="s">
        <v>48</v>
      </c>
    </row>
    <row r="14" ht="21.0" customHeight="1">
      <c r="A14" s="8" t="s">
        <v>49</v>
      </c>
      <c r="B14" s="9" t="s">
        <v>11</v>
      </c>
      <c r="C14" s="10" t="s">
        <v>50</v>
      </c>
      <c r="D14" s="11" t="s">
        <v>51</v>
      </c>
      <c r="E14" s="9" t="s">
        <v>52</v>
      </c>
      <c r="F14" s="8">
        <v>2.0</v>
      </c>
      <c r="G14" s="8" t="s">
        <v>48</v>
      </c>
    </row>
    <row r="15" ht="24.0" customHeight="1">
      <c r="A15" s="6" t="s">
        <v>53</v>
      </c>
      <c r="B15" s="7"/>
      <c r="C15" s="7"/>
      <c r="D15" s="7"/>
      <c r="E15" s="7"/>
      <c r="F15" s="7"/>
      <c r="G15" s="7"/>
    </row>
    <row r="16" ht="21.0" customHeight="1">
      <c r="A16" s="8" t="s">
        <v>54</v>
      </c>
      <c r="B16" s="9" t="s">
        <v>55</v>
      </c>
      <c r="C16" s="10" t="s">
        <v>56</v>
      </c>
      <c r="D16" s="11" t="s">
        <v>57</v>
      </c>
      <c r="E16" s="9" t="s">
        <v>58</v>
      </c>
      <c r="F16" s="8">
        <v>1.0</v>
      </c>
      <c r="G16" s="8" t="s">
        <v>59</v>
      </c>
    </row>
    <row r="17" ht="21.0" customHeight="1">
      <c r="A17" s="12" t="s">
        <v>60</v>
      </c>
      <c r="B17" s="13" t="s">
        <v>55</v>
      </c>
      <c r="C17" s="14" t="s">
        <v>61</v>
      </c>
      <c r="D17" s="15" t="s">
        <v>62</v>
      </c>
      <c r="E17" s="13" t="s">
        <v>63</v>
      </c>
      <c r="F17" s="12">
        <v>1.0</v>
      </c>
      <c r="G17" s="12" t="s">
        <v>59</v>
      </c>
    </row>
    <row r="18" ht="21.0" customHeight="1">
      <c r="A18" s="8" t="s">
        <v>64</v>
      </c>
      <c r="B18" s="9" t="s">
        <v>55</v>
      </c>
      <c r="C18" s="10" t="s">
        <v>65</v>
      </c>
      <c r="D18" s="11" t="s">
        <v>66</v>
      </c>
      <c r="E18" s="9" t="s">
        <v>67</v>
      </c>
      <c r="F18" s="8">
        <v>1.0</v>
      </c>
      <c r="G18" s="8" t="s">
        <v>68</v>
      </c>
    </row>
    <row r="19" ht="21.0" customHeight="1">
      <c r="A19" s="12" t="s">
        <v>69</v>
      </c>
      <c r="B19" s="13" t="s">
        <v>55</v>
      </c>
      <c r="C19" s="14" t="s">
        <v>70</v>
      </c>
      <c r="D19" s="15" t="s">
        <v>71</v>
      </c>
      <c r="E19" s="13" t="s">
        <v>72</v>
      </c>
      <c r="F19" s="12">
        <v>1.0</v>
      </c>
      <c r="G19" s="12" t="s">
        <v>73</v>
      </c>
    </row>
    <row r="20" ht="21.0" customHeight="1">
      <c r="A20" s="8" t="s">
        <v>74</v>
      </c>
      <c r="B20" s="9" t="s">
        <v>55</v>
      </c>
      <c r="C20" s="10" t="s">
        <v>75</v>
      </c>
      <c r="D20" s="11" t="s">
        <v>76</v>
      </c>
      <c r="E20" s="9" t="s">
        <v>77</v>
      </c>
      <c r="F20" s="8">
        <v>2.0</v>
      </c>
      <c r="G20" s="8" t="s">
        <v>78</v>
      </c>
    </row>
    <row r="21" ht="21.0" customHeight="1">
      <c r="A21" s="12" t="s">
        <v>79</v>
      </c>
      <c r="B21" s="13" t="s">
        <v>55</v>
      </c>
      <c r="C21" s="14" t="s">
        <v>80</v>
      </c>
      <c r="D21" s="15" t="s">
        <v>81</v>
      </c>
      <c r="E21" s="13" t="s">
        <v>82</v>
      </c>
      <c r="F21" s="12">
        <v>1.0</v>
      </c>
      <c r="G21" s="12" t="s">
        <v>83</v>
      </c>
    </row>
    <row r="22" ht="21.0" customHeight="1">
      <c r="A22" s="8" t="s">
        <v>84</v>
      </c>
      <c r="B22" s="9" t="s">
        <v>55</v>
      </c>
      <c r="C22" s="10" t="s">
        <v>85</v>
      </c>
      <c r="D22" s="11" t="s">
        <v>86</v>
      </c>
      <c r="E22" s="9" t="s">
        <v>87</v>
      </c>
      <c r="F22" s="8">
        <v>2.0</v>
      </c>
      <c r="G22" s="8" t="s">
        <v>88</v>
      </c>
    </row>
    <row r="23" ht="24.0" customHeight="1">
      <c r="A23" s="6" t="s">
        <v>89</v>
      </c>
      <c r="B23" s="7"/>
      <c r="C23" s="7"/>
      <c r="D23" s="7"/>
      <c r="E23" s="7"/>
      <c r="F23" s="7"/>
      <c r="G23" s="7"/>
    </row>
    <row r="24" ht="21.0" customHeight="1">
      <c r="A24" s="8" t="s">
        <v>90</v>
      </c>
      <c r="B24" s="9" t="s">
        <v>91</v>
      </c>
      <c r="C24" s="10" t="s">
        <v>92</v>
      </c>
      <c r="D24" s="11" t="s">
        <v>93</v>
      </c>
      <c r="E24" s="9" t="s">
        <v>94</v>
      </c>
      <c r="F24" s="8">
        <v>1.0</v>
      </c>
      <c r="G24" s="8" t="s">
        <v>95</v>
      </c>
    </row>
    <row r="25" ht="21.0" customHeight="1">
      <c r="A25" s="12" t="s">
        <v>96</v>
      </c>
      <c r="B25" s="13" t="s">
        <v>91</v>
      </c>
      <c r="C25" s="14" t="s">
        <v>97</v>
      </c>
      <c r="D25" s="15" t="s">
        <v>98</v>
      </c>
      <c r="E25" s="13" t="s">
        <v>99</v>
      </c>
      <c r="F25" s="12">
        <v>1.0</v>
      </c>
      <c r="G25" s="12" t="s">
        <v>100</v>
      </c>
    </row>
    <row r="26" ht="21.0" customHeight="1">
      <c r="A26" s="8" t="s">
        <v>101</v>
      </c>
      <c r="B26" s="9" t="s">
        <v>91</v>
      </c>
      <c r="C26" s="10" t="s">
        <v>102</v>
      </c>
      <c r="D26" s="11" t="s">
        <v>103</v>
      </c>
      <c r="E26" s="9" t="s">
        <v>104</v>
      </c>
      <c r="F26" s="8">
        <v>1.0</v>
      </c>
      <c r="G26" s="8" t="s">
        <v>105</v>
      </c>
    </row>
    <row r="27" ht="21.0" customHeight="1">
      <c r="A27" s="12" t="s">
        <v>106</v>
      </c>
      <c r="B27" s="13" t="s">
        <v>91</v>
      </c>
      <c r="C27" s="14" t="s">
        <v>107</v>
      </c>
      <c r="D27" s="15" t="s">
        <v>108</v>
      </c>
      <c r="E27" s="13" t="s">
        <v>109</v>
      </c>
      <c r="F27" s="12">
        <v>1.0</v>
      </c>
      <c r="G27" s="12" t="s">
        <v>110</v>
      </c>
    </row>
    <row r="28" ht="21.0" customHeight="1">
      <c r="A28" s="8" t="s">
        <v>111</v>
      </c>
      <c r="B28" s="9" t="s">
        <v>91</v>
      </c>
      <c r="C28" s="10" t="s">
        <v>112</v>
      </c>
      <c r="D28" s="11" t="s">
        <v>113</v>
      </c>
      <c r="E28" s="9" t="s">
        <v>114</v>
      </c>
      <c r="F28" s="8">
        <v>2.0</v>
      </c>
      <c r="G28" s="8" t="s">
        <v>115</v>
      </c>
    </row>
    <row r="29" ht="21.0" customHeight="1">
      <c r="A29" s="12" t="s">
        <v>116</v>
      </c>
      <c r="B29" s="13" t="s">
        <v>91</v>
      </c>
      <c r="C29" s="14" t="s">
        <v>117</v>
      </c>
      <c r="D29" s="15" t="s">
        <v>118</v>
      </c>
      <c r="E29" s="13" t="s">
        <v>119</v>
      </c>
      <c r="F29" s="12">
        <v>1.0</v>
      </c>
      <c r="G29" s="12" t="s">
        <v>115</v>
      </c>
    </row>
    <row r="30" ht="21.0" customHeight="1">
      <c r="A30" s="8" t="s">
        <v>120</v>
      </c>
      <c r="B30" s="9" t="s">
        <v>91</v>
      </c>
      <c r="C30" s="10" t="s">
        <v>121</v>
      </c>
      <c r="D30" s="11" t="s">
        <v>122</v>
      </c>
      <c r="E30" s="9" t="s">
        <v>123</v>
      </c>
      <c r="F30" s="8">
        <v>1.0</v>
      </c>
      <c r="G30" s="8" t="s">
        <v>115</v>
      </c>
    </row>
    <row r="31" ht="21.0" customHeight="1">
      <c r="A31" s="12" t="s">
        <v>124</v>
      </c>
      <c r="B31" s="13" t="s">
        <v>91</v>
      </c>
      <c r="C31" s="14" t="s">
        <v>125</v>
      </c>
      <c r="D31" s="15" t="s">
        <v>126</v>
      </c>
      <c r="E31" s="13" t="s">
        <v>127</v>
      </c>
      <c r="F31" s="12">
        <v>2.0</v>
      </c>
      <c r="G31" s="12" t="s">
        <v>128</v>
      </c>
    </row>
    <row r="32" ht="24.0" customHeight="1">
      <c r="A32" s="6" t="s">
        <v>129</v>
      </c>
      <c r="B32" s="7"/>
      <c r="C32" s="7"/>
      <c r="D32" s="7"/>
      <c r="E32" s="7"/>
      <c r="F32" s="7"/>
      <c r="G32" s="7"/>
    </row>
    <row r="33" ht="21.0" customHeight="1">
      <c r="A33" s="12" t="s">
        <v>130</v>
      </c>
      <c r="B33" s="13" t="s">
        <v>129</v>
      </c>
      <c r="C33" s="14" t="s">
        <v>131</v>
      </c>
      <c r="D33" s="15" t="s">
        <v>132</v>
      </c>
      <c r="E33" s="13" t="s">
        <v>133</v>
      </c>
      <c r="F33" s="12">
        <v>4.0</v>
      </c>
      <c r="G33" s="12" t="s">
        <v>134</v>
      </c>
    </row>
    <row r="34" ht="21.0" customHeight="1">
      <c r="A34" s="8" t="s">
        <v>135</v>
      </c>
      <c r="B34" s="9" t="s">
        <v>129</v>
      </c>
      <c r="C34" s="10" t="s">
        <v>136</v>
      </c>
      <c r="D34" s="11" t="s">
        <v>137</v>
      </c>
      <c r="E34" s="9" t="s">
        <v>138</v>
      </c>
      <c r="F34" s="8">
        <v>6.0</v>
      </c>
      <c r="G34" s="8" t="s">
        <v>139</v>
      </c>
    </row>
    <row r="35" ht="21.0" customHeight="1">
      <c r="A35" s="12" t="s">
        <v>140</v>
      </c>
      <c r="B35" s="13" t="s">
        <v>129</v>
      </c>
      <c r="C35" s="14" t="s">
        <v>141</v>
      </c>
      <c r="D35" s="15" t="s">
        <v>142</v>
      </c>
      <c r="E35" s="13" t="s">
        <v>143</v>
      </c>
      <c r="F35" s="12">
        <v>1.0</v>
      </c>
      <c r="G35" s="12" t="s">
        <v>144</v>
      </c>
    </row>
    <row r="36" ht="21.0" customHeight="1">
      <c r="A36" s="8" t="s">
        <v>145</v>
      </c>
      <c r="B36" s="9" t="s">
        <v>129</v>
      </c>
      <c r="C36" s="10" t="s">
        <v>146</v>
      </c>
      <c r="D36" s="11" t="s">
        <v>147</v>
      </c>
      <c r="E36" s="9" t="s">
        <v>148</v>
      </c>
      <c r="F36" s="8">
        <v>2.0</v>
      </c>
      <c r="G36" s="8" t="s">
        <v>149</v>
      </c>
    </row>
    <row r="37" ht="21.0" customHeight="1">
      <c r="A37" s="12" t="s">
        <v>150</v>
      </c>
      <c r="B37" s="13" t="s">
        <v>129</v>
      </c>
      <c r="C37" s="14" t="s">
        <v>151</v>
      </c>
      <c r="D37" s="15" t="s">
        <v>152</v>
      </c>
      <c r="E37" s="13" t="s">
        <v>153</v>
      </c>
      <c r="F37" s="12">
        <v>4.0</v>
      </c>
      <c r="G37" s="12" t="s">
        <v>154</v>
      </c>
    </row>
    <row r="38" ht="21.0" customHeight="1">
      <c r="A38" s="8" t="s">
        <v>155</v>
      </c>
      <c r="B38" s="9" t="s">
        <v>129</v>
      </c>
      <c r="C38" s="10" t="s">
        <v>156</v>
      </c>
      <c r="D38" s="11" t="s">
        <v>157</v>
      </c>
      <c r="E38" s="9" t="s">
        <v>158</v>
      </c>
      <c r="F38" s="8">
        <v>2.0</v>
      </c>
      <c r="G38" s="8" t="s">
        <v>159</v>
      </c>
    </row>
    <row r="39" ht="24.0" customHeight="1">
      <c r="A39" s="6" t="s">
        <v>160</v>
      </c>
      <c r="B39" s="7"/>
      <c r="C39" s="7"/>
      <c r="D39" s="7"/>
      <c r="E39" s="7"/>
      <c r="F39" s="7"/>
      <c r="G39" s="7"/>
    </row>
    <row r="40" ht="21.0" customHeight="1">
      <c r="A40" s="8" t="s">
        <v>161</v>
      </c>
      <c r="B40" s="9" t="s">
        <v>162</v>
      </c>
      <c r="C40" s="10" t="s">
        <v>163</v>
      </c>
      <c r="D40" s="11" t="s">
        <v>164</v>
      </c>
      <c r="E40" s="9" t="s">
        <v>165</v>
      </c>
      <c r="F40" s="8">
        <v>1.0</v>
      </c>
      <c r="G40" s="8" t="s">
        <v>166</v>
      </c>
    </row>
    <row r="41" ht="21.0" customHeight="1">
      <c r="A41" s="12" t="s">
        <v>167</v>
      </c>
      <c r="B41" s="13" t="s">
        <v>162</v>
      </c>
      <c r="C41" s="14" t="s">
        <v>168</v>
      </c>
      <c r="D41" s="15" t="s">
        <v>169</v>
      </c>
      <c r="E41" s="13" t="s">
        <v>170</v>
      </c>
      <c r="F41" s="12">
        <v>1.0</v>
      </c>
      <c r="G41" s="12" t="s">
        <v>171</v>
      </c>
    </row>
    <row r="42" ht="21.0" customHeight="1">
      <c r="A42" s="8" t="s">
        <v>172</v>
      </c>
      <c r="B42" s="9" t="s">
        <v>162</v>
      </c>
      <c r="C42" s="10" t="s">
        <v>173</v>
      </c>
      <c r="D42" s="11" t="s">
        <v>174</v>
      </c>
      <c r="E42" s="9" t="s">
        <v>175</v>
      </c>
      <c r="F42" s="8">
        <v>1.0</v>
      </c>
      <c r="G42" s="8" t="s">
        <v>176</v>
      </c>
    </row>
    <row r="43" ht="21.0" customHeight="1">
      <c r="A43" s="12" t="s">
        <v>177</v>
      </c>
      <c r="B43" s="13" t="s">
        <v>162</v>
      </c>
      <c r="C43" s="14" t="s">
        <v>178</v>
      </c>
      <c r="D43" s="15" t="s">
        <v>179</v>
      </c>
      <c r="E43" s="13" t="s">
        <v>180</v>
      </c>
      <c r="F43" s="12">
        <v>2.0</v>
      </c>
      <c r="G43" s="12" t="s">
        <v>181</v>
      </c>
    </row>
    <row r="44" ht="24.75" customHeight="1">
      <c r="A44" s="16" t="s">
        <v>182</v>
      </c>
      <c r="B44" s="17"/>
      <c r="C44" s="17"/>
      <c r="D44" s="17"/>
      <c r="E44" s="18"/>
      <c r="F44" s="19" t="str">
        <f>SUM(F5:F43)</f>
        <v>53</v>
      </c>
      <c r="G44" s="2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8">
    <mergeCell ref="A32:G32"/>
    <mergeCell ref="A1:G1"/>
    <mergeCell ref="A39:G39"/>
    <mergeCell ref="A2:G2"/>
    <mergeCell ref="A15:G15"/>
    <mergeCell ref="A44:E44"/>
    <mergeCell ref="A5:G5"/>
    <mergeCell ref="A23:G2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44.0"/>
    <col customWidth="1" min="3" max="4" width="24.0"/>
    <col customWidth="1" min="5" max="5" width="20.0"/>
    <col customWidth="1" min="6" max="11" width="8.71"/>
  </cols>
  <sheetData>
    <row r="1" ht="34.5" customHeight="1">
      <c r="A1" s="21" t="s">
        <v>183</v>
      </c>
      <c r="B1" s="2"/>
      <c r="C1" s="2"/>
      <c r="D1" s="2"/>
      <c r="E1" s="3"/>
    </row>
    <row r="3">
      <c r="A3" s="22" t="s">
        <v>184</v>
      </c>
    </row>
    <row r="4" ht="24.0" customHeight="1">
      <c r="A4" s="23" t="s">
        <v>185</v>
      </c>
      <c r="B4" s="23" t="s">
        <v>186</v>
      </c>
      <c r="C4" s="23" t="s">
        <v>187</v>
      </c>
      <c r="D4" s="23" t="s">
        <v>188</v>
      </c>
    </row>
    <row r="5" ht="19.5" customHeight="1">
      <c r="A5" s="24" t="s">
        <v>189</v>
      </c>
      <c r="B5" s="25" t="s">
        <v>190</v>
      </c>
      <c r="C5" s="25" t="s">
        <v>191</v>
      </c>
      <c r="D5" s="25" t="s">
        <v>192</v>
      </c>
    </row>
    <row r="6" ht="19.5" customHeight="1">
      <c r="A6" s="26" t="s">
        <v>193</v>
      </c>
      <c r="B6" s="27" t="s">
        <v>194</v>
      </c>
      <c r="C6" s="27" t="s">
        <v>195</v>
      </c>
      <c r="D6" s="27" t="s">
        <v>196</v>
      </c>
    </row>
    <row r="7" ht="19.5" customHeight="1">
      <c r="A7" s="24" t="s">
        <v>197</v>
      </c>
      <c r="B7" s="25" t="s">
        <v>198</v>
      </c>
      <c r="C7" s="25" t="s">
        <v>199</v>
      </c>
      <c r="D7" s="25" t="s">
        <v>196</v>
      </c>
    </row>
    <row r="8" ht="19.5" customHeight="1">
      <c r="A8" s="26" t="s">
        <v>200</v>
      </c>
      <c r="B8" s="27" t="s">
        <v>201</v>
      </c>
      <c r="C8" s="27" t="s">
        <v>202</v>
      </c>
      <c r="D8" s="27" t="s">
        <v>203</v>
      </c>
    </row>
    <row r="9" ht="19.5" customHeight="1">
      <c r="A9" s="24" t="s">
        <v>204</v>
      </c>
      <c r="B9" s="25" t="s">
        <v>205</v>
      </c>
      <c r="C9" s="25" t="s">
        <v>206</v>
      </c>
      <c r="D9" s="25" t="s">
        <v>207</v>
      </c>
    </row>
    <row r="10" ht="19.5" customHeight="1">
      <c r="A10" s="26" t="s">
        <v>208</v>
      </c>
      <c r="B10" s="27" t="s">
        <v>209</v>
      </c>
      <c r="C10" s="27" t="s">
        <v>210</v>
      </c>
      <c r="D10" s="27" t="s">
        <v>211</v>
      </c>
    </row>
    <row r="11" ht="19.5" customHeight="1">
      <c r="A11" s="24" t="s">
        <v>212</v>
      </c>
      <c r="B11" s="25" t="s">
        <v>213</v>
      </c>
      <c r="C11" s="25" t="s">
        <v>214</v>
      </c>
      <c r="D11" s="25" t="s">
        <v>215</v>
      </c>
    </row>
    <row r="14">
      <c r="A14" s="22" t="s">
        <v>216</v>
      </c>
    </row>
    <row r="15" ht="36.0" customHeight="1">
      <c r="A15" s="28" t="s">
        <v>217</v>
      </c>
      <c r="B15" s="29" t="s">
        <v>218</v>
      </c>
    </row>
    <row r="16" ht="36.0" customHeight="1">
      <c r="A16" s="28" t="s">
        <v>219</v>
      </c>
      <c r="B16" s="29" t="s">
        <v>220</v>
      </c>
    </row>
    <row r="17" ht="36.0" customHeight="1">
      <c r="A17" s="28" t="s">
        <v>221</v>
      </c>
      <c r="B17" s="29" t="s">
        <v>222</v>
      </c>
    </row>
    <row r="18" ht="36.0" customHeight="1">
      <c r="A18" s="28" t="s">
        <v>223</v>
      </c>
      <c r="B18" s="29" t="s">
        <v>224</v>
      </c>
    </row>
    <row r="19" ht="36.0" customHeight="1">
      <c r="A19" s="28" t="s">
        <v>225</v>
      </c>
      <c r="B19" s="29" t="s">
        <v>226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B17:E17"/>
    <mergeCell ref="B18:E18"/>
    <mergeCell ref="B16:E16"/>
    <mergeCell ref="B15:E15"/>
    <mergeCell ref="A1:E1"/>
    <mergeCell ref="B19:E19"/>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2026-10-12T06:37:19Z</dcterms:created>
  <dc:creator>openpyxl</dc:creator>
  <dcterms:modified xsi:type="dcterms:W3CDTF">2026-10-12T06:37:19Z</dcterms:modified>
</cp:coreProperties>
</file>