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 Pro Spares Catalog" sheetId="1" state="visible" r:id="rId1"/>
    <sheet xmlns:r="http://schemas.openxmlformats.org/officeDocument/2006/relationships" name="Calibration &amp; Winteriz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b val="1"/>
      <color rgb="00900C3F"/>
      <sz val="11"/>
    </font>
    <font>
      <name val="Calibri"/>
      <sz val="10"/>
    </font>
    <font>
      <name val="Calibri"/>
      <b val="1"/>
      <sz val="10"/>
    </font>
    <font>
      <name val="Consolas"/>
      <b val="1"/>
      <color rgb="00900C3F"/>
      <sz val="9"/>
    </font>
  </fonts>
  <fills count="7">
    <fill>
      <patternFill/>
    </fill>
    <fill>
      <patternFill patternType="gray125"/>
    </fill>
    <fill>
      <patternFill patternType="solid">
        <fgColor rgb="00900C3F"/>
        <bgColor rgb="00900C3F"/>
      </patternFill>
    </fill>
    <fill>
      <patternFill patternType="solid">
        <fgColor rgb="00C8102E"/>
        <bgColor rgb="00C8102E"/>
      </patternFill>
    </fill>
    <fill>
      <patternFill patternType="solid">
        <fgColor rgb="00FADBD8"/>
        <bgColor rgb="00FADBD8"/>
      </patternFill>
    </fill>
    <fill>
      <patternFill patternType="solid">
        <fgColor rgb="00FDF6F7"/>
        <bgColor rgb="00FDF6F7"/>
      </patternFill>
    </fill>
    <fill>
      <patternFill patternType="solid">
        <fgColor rgb="00F9EBEA"/>
        <bgColor rgb="00F9EBE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8102E"/>
      </bottom>
    </border>
    <border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8102E"/>
      </top>
      <bottom style="medium">
        <color rgb="00C8102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4" fillId="6" borderId="4" applyAlignment="1" pivotButton="0" quotePrefix="0" xfId="0">
      <alignment horizontal="right" vertical="center"/>
    </xf>
    <xf numFmtId="0" fontId="0" fillId="0" borderId="4" pivotButton="0" quotePrefix="0" xfId="0"/>
    <xf numFmtId="0" fontId="4" fillId="6" borderId="4" applyAlignment="1" pivotButton="0" quotePrefix="0" xfId="0">
      <alignment horizontal="center" vertical="center"/>
    </xf>
    <xf numFmtId="0" fontId="0" fillId="6" borderId="4" pivotButton="0" quotePrefix="0" xfId="0"/>
    <xf numFmtId="0" fontId="1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6" fillId="0" borderId="3" pivotButton="0" quotePrefix="0" xfId="0"/>
    <xf numFmtId="0" fontId="5" fillId="0" borderId="3" pivotButton="0" quotePrefix="0" xfId="0"/>
    <xf numFmtId="0" fontId="6" fillId="5" borderId="3" pivotButton="0" quotePrefix="0" xfId="0"/>
    <xf numFmtId="0" fontId="5" fillId="5" borderId="3" pivotButton="0" quotePrefix="0" xfId="0"/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28" customWidth="1" min="4" max="4"/>
    <col width="50" customWidth="1" min="5" max="5"/>
    <col width="12" customWidth="1" min="6" max="6"/>
    <col width="24" customWidth="1" min="7" max="7"/>
  </cols>
  <sheetData>
    <row r="1" ht="40" customHeight="1">
      <c r="A1" s="1" t="inlineStr">
        <is>
          <t>TORO MULTI PRO SERIES TURF SPRAYER (1750 / 5800) - SPARE PARTS CATALOG &amp; INDENT BOM</t>
        </is>
      </c>
    </row>
    <row r="2" ht="20" customHeight="1">
      <c r="A2" s="2" t="inlineStr">
        <is>
          <t>Dedicated Dedicated Turf Sprayers (175 &amp; 300 Gal Tanks) | Six-Diaphragm Pump, Pro Control &amp; Boom Spares</t>
        </is>
      </c>
    </row>
    <row r="4" ht="28" customHeight="1">
      <c r="A4" s="3" t="inlineStr">
        <is>
          <t>Item No.</t>
        </is>
      </c>
      <c r="B4" s="3" t="inlineStr">
        <is>
          <t>Assembly Group</t>
        </is>
      </c>
      <c r="C4" s="3" t="inlineStr">
        <is>
          <t>Part / Component Description</t>
        </is>
      </c>
      <c r="D4" s="3" t="inlineStr">
        <is>
          <t>Toro Genuine Part No.</t>
        </is>
      </c>
      <c r="E4" s="3" t="inlineStr">
        <is>
          <t>Technical Specification / Standards</t>
        </is>
      </c>
      <c r="F4" s="3" t="inlineStr">
        <is>
          <t>Qty / Unit</t>
        </is>
      </c>
      <c r="G4" s="3" t="inlineStr">
        <is>
          <t>Maintenance Category</t>
        </is>
      </c>
    </row>
    <row r="5" ht="24" customHeight="1">
      <c r="A5" s="4" t="inlineStr">
        <is>
          <t>Spray Pump &amp; Agitation System (Six-Diaphragm Pump)</t>
        </is>
      </c>
      <c r="B5" s="5" t="n"/>
      <c r="C5" s="5" t="n"/>
      <c r="D5" s="5" t="n"/>
      <c r="E5" s="5" t="n"/>
      <c r="F5" s="5" t="n"/>
      <c r="G5" s="5" t="n"/>
    </row>
    <row r="6" ht="21" customHeight="1">
      <c r="A6" s="6" t="inlineStr">
        <is>
          <t>1.01</t>
        </is>
      </c>
      <c r="B6" s="7" t="inlineStr">
        <is>
          <t>Spray Pump &amp; Agitation System</t>
        </is>
      </c>
      <c r="C6" s="8" t="inlineStr">
        <is>
          <t>Six-Diaphragm Spray Pump Assembly</t>
        </is>
      </c>
      <c r="D6" s="9" t="inlineStr">
        <is>
          <t>110-5060 / 114-0195</t>
        </is>
      </c>
      <c r="E6" s="7" t="inlineStr">
        <is>
          <t>Positive displacement 6-diaphragm pump (approx. 40–50 GPM capacity)</t>
        </is>
      </c>
      <c r="F6" s="6" t="n">
        <v>1</v>
      </c>
      <c r="G6" s="6" t="inlineStr">
        <is>
          <t>Pump Sub-Assembly</t>
        </is>
      </c>
    </row>
    <row r="7" ht="21" customHeight="1">
      <c r="A7" s="10" t="inlineStr">
        <is>
          <t>1.02</t>
        </is>
      </c>
      <c r="B7" s="11" t="inlineStr">
        <is>
          <t>Spray Pump &amp; Agitation System</t>
        </is>
      </c>
      <c r="C7" s="12" t="inlineStr">
        <is>
          <t>Pump Replacement Diaphragms (Desmopan / Buna)</t>
        </is>
      </c>
      <c r="D7" s="13" t="inlineStr">
        <is>
          <t>106-4993 / 114-0238</t>
        </is>
      </c>
      <c r="E7" s="11" t="inlineStr">
        <is>
          <t>Chemical-resistant molded Desmopan diaphragm discs (Set of 6)</t>
        </is>
      </c>
      <c r="F7" s="10" t="n">
        <v>6</v>
      </c>
      <c r="G7" s="10" t="inlineStr">
        <is>
          <t>Pump Rebuild Consumable</t>
        </is>
      </c>
    </row>
    <row r="8" ht="21" customHeight="1">
      <c r="A8" s="6" t="inlineStr">
        <is>
          <t>1.03</t>
        </is>
      </c>
      <c r="B8" s="7" t="inlineStr">
        <is>
          <t>Spray Pump &amp; Agitation System</t>
        </is>
      </c>
      <c r="C8" s="8" t="inlineStr">
        <is>
          <t>Pump Valve Assembly (Check Valve &amp; O-Ring)</t>
        </is>
      </c>
      <c r="D8" s="9" t="inlineStr">
        <is>
          <t>106-4994 / 114-0239</t>
        </is>
      </c>
      <c r="E8" s="7" t="inlineStr">
        <is>
          <t>Suction and delivery valve cartridges with stainless springs (Set of 12)</t>
        </is>
      </c>
      <c r="F8" s="6" t="n">
        <v>12</v>
      </c>
      <c r="G8" s="6" t="inlineStr">
        <is>
          <t>Pump Valve Hardware</t>
        </is>
      </c>
    </row>
    <row r="9" ht="21" customHeight="1">
      <c r="A9" s="10" t="inlineStr">
        <is>
          <t>1.04</t>
        </is>
      </c>
      <c r="B9" s="11" t="inlineStr">
        <is>
          <t>Spray Pump &amp; Agitation System</t>
        </is>
      </c>
      <c r="C9" s="12" t="inlineStr">
        <is>
          <t>Pulsation Damper Air Diaphragm</t>
        </is>
      </c>
      <c r="D9" s="13" t="inlineStr">
        <is>
          <t>106-4995 / 114-0240</t>
        </is>
      </c>
      <c r="E9" s="11" t="inlineStr">
        <is>
          <t>Air accumulator chamber rubber expansion bladder</t>
        </is>
      </c>
      <c r="F9" s="10" t="n">
        <v>1</v>
      </c>
      <c r="G9" s="10" t="inlineStr">
        <is>
          <t>Pulsation Damper</t>
        </is>
      </c>
    </row>
    <row r="10" ht="21" customHeight="1">
      <c r="A10" s="6" t="inlineStr">
        <is>
          <t>1.05</t>
        </is>
      </c>
      <c r="B10" s="7" t="inlineStr">
        <is>
          <t>Spray Pump &amp; Agitation System</t>
        </is>
      </c>
      <c r="C10" s="8" t="inlineStr">
        <is>
          <t>Side-Bleeder Jet Agitator Nozzle</t>
        </is>
      </c>
      <c r="D10" s="9" t="inlineStr">
        <is>
          <t>106-4933 / 114-0125</t>
        </is>
      </c>
      <c r="E10" s="7" t="inlineStr">
        <is>
          <t>High-velocity venturi agitation nozzle for tank chemical mixing</t>
        </is>
      </c>
      <c r="F10" s="6" t="n">
        <v>3</v>
      </c>
      <c r="G10" s="6" t="inlineStr">
        <is>
          <t>Tank Internal Agitation</t>
        </is>
      </c>
    </row>
    <row r="11" ht="21" customHeight="1">
      <c r="A11" s="10" t="inlineStr">
        <is>
          <t>1.06</t>
        </is>
      </c>
      <c r="B11" s="11" t="inlineStr">
        <is>
          <t>Spray Pump &amp; Agitation System</t>
        </is>
      </c>
      <c r="C11" s="12" t="inlineStr">
        <is>
          <t>Pump Drive Coupler / PTO Spline Adapter</t>
        </is>
      </c>
      <c r="D11" s="13" t="inlineStr">
        <is>
          <t>106-4940</t>
        </is>
      </c>
      <c r="E11" s="11" t="inlineStr">
        <is>
          <t>Flexible elastomer drive coupling mating pump to drive shaft</t>
        </is>
      </c>
      <c r="F11" s="10" t="n">
        <v>1</v>
      </c>
      <c r="G11" s="10" t="inlineStr">
        <is>
          <t>Drive Transmission</t>
        </is>
      </c>
    </row>
    <row r="12" ht="24" customHeight="1">
      <c r="A12" s="4" t="inlineStr">
        <is>
          <t>Filtration, Regulating Valves &amp; Pro Control Plumbing</t>
        </is>
      </c>
      <c r="B12" s="5" t="n"/>
      <c r="C12" s="5" t="n"/>
      <c r="D12" s="5" t="n"/>
      <c r="E12" s="5" t="n"/>
      <c r="F12" s="5" t="n"/>
      <c r="G12" s="5" t="n"/>
    </row>
    <row r="13" ht="21" customHeight="1">
      <c r="A13" s="10" t="inlineStr">
        <is>
          <t>2.01</t>
        </is>
      </c>
      <c r="B13" s="11" t="inlineStr">
        <is>
          <t>Filtration, Regulating Valves &amp; Pro Control Plumbing</t>
        </is>
      </c>
      <c r="C13" s="12" t="inlineStr">
        <is>
          <t>Main Suction Strainer Screen (30 Mesh - Coarse)</t>
        </is>
      </c>
      <c r="D13" s="13" t="inlineStr">
        <is>
          <t>106-4929 / 114-0111</t>
        </is>
      </c>
      <c r="E13" s="11" t="inlineStr">
        <is>
          <t>Large volume cleanable polypropylene 30-mesh basket filter</t>
        </is>
      </c>
      <c r="F13" s="10" t="n">
        <v>1</v>
      </c>
      <c r="G13" s="10" t="inlineStr">
        <is>
          <t>Routine Consumable</t>
        </is>
      </c>
    </row>
    <row r="14" ht="21" customHeight="1">
      <c r="A14" s="6" t="inlineStr">
        <is>
          <t>2.02</t>
        </is>
      </c>
      <c r="B14" s="7" t="inlineStr">
        <is>
          <t>Filtration, Regulating Valves &amp; Pro Control Plumbing</t>
        </is>
      </c>
      <c r="C14" s="8" t="inlineStr">
        <is>
          <t>Pressure Line Filter Screen (50 Mesh - Medium)</t>
        </is>
      </c>
      <c r="D14" s="9" t="inlineStr">
        <is>
          <t>106-4930 / 114-0112</t>
        </is>
      </c>
      <c r="E14" s="7" t="inlineStr">
        <is>
          <t>50-Mesh stainless steel fluid line filter cartridge</t>
        </is>
      </c>
      <c r="F14" s="6" t="n">
        <v>1</v>
      </c>
      <c r="G14" s="6" t="inlineStr">
        <is>
          <t>Routine Consumable</t>
        </is>
      </c>
    </row>
    <row r="15" ht="21" customHeight="1">
      <c r="A15" s="10" t="inlineStr">
        <is>
          <t>2.03</t>
        </is>
      </c>
      <c r="B15" s="11" t="inlineStr">
        <is>
          <t>Filtration, Regulating Valves &amp; Pro Control Plumbing</t>
        </is>
      </c>
      <c r="C15" s="12" t="inlineStr">
        <is>
          <t>Individual Boom Section Filter Screen (80/100 Mesh)</t>
        </is>
      </c>
      <c r="D15" s="13" t="inlineStr">
        <is>
          <t>106-4931 / 114-0113</t>
        </is>
      </c>
      <c r="E15" s="11" t="inlineStr">
        <is>
          <t>80-Mesh fine tip protection screen cartridge</t>
        </is>
      </c>
      <c r="F15" s="10" t="n">
        <v>3</v>
      </c>
      <c r="G15" s="10" t="inlineStr">
        <is>
          <t>Routine Consumable</t>
        </is>
      </c>
    </row>
    <row r="16" ht="21" customHeight="1">
      <c r="A16" s="6" t="inlineStr">
        <is>
          <t>2.04</t>
        </is>
      </c>
      <c r="B16" s="7" t="inlineStr">
        <is>
          <t>Filtration, Regulating Valves &amp; Pro Control Plumbing</t>
        </is>
      </c>
      <c r="C16" s="8" t="inlineStr">
        <is>
          <t>Motorized Boom Section Control Valve (3-Way)</t>
        </is>
      </c>
      <c r="D16" s="9" t="inlineStr">
        <is>
          <t>106-4952 / 114-0150</t>
        </is>
      </c>
      <c r="E16" s="7" t="inlineStr">
        <is>
          <t>Electric ball valve with 12V motorized actuator head</t>
        </is>
      </c>
      <c r="F16" s="6" t="n">
        <v>3</v>
      </c>
      <c r="G16" s="6" t="inlineStr">
        <is>
          <t>Electrical / Valve</t>
        </is>
      </c>
    </row>
    <row r="17" ht="21" customHeight="1">
      <c r="A17" s="10" t="inlineStr">
        <is>
          <t>2.05</t>
        </is>
      </c>
      <c r="B17" s="11" t="inlineStr">
        <is>
          <t>Filtration, Regulating Valves &amp; Pro Control Plumbing</t>
        </is>
      </c>
      <c r="C17" s="12" t="inlineStr">
        <is>
          <t>Master Electric Pressure Regulating Valve</t>
        </is>
      </c>
      <c r="D17" s="13" t="inlineStr">
        <is>
          <t>106-4953 / 114-0151</t>
        </is>
      </c>
      <c r="E17" s="11" t="inlineStr">
        <is>
          <t>Proportional motorized flow servo control valve for rate control</t>
        </is>
      </c>
      <c r="F17" s="10" t="n">
        <v>1</v>
      </c>
      <c r="G17" s="10" t="inlineStr">
        <is>
          <t>Flow Control</t>
        </is>
      </c>
    </row>
    <row r="18" ht="21" customHeight="1">
      <c r="A18" s="6" t="inlineStr">
        <is>
          <t>2.06</t>
        </is>
      </c>
      <c r="B18" s="7" t="inlineStr">
        <is>
          <t>Filtration, Regulating Valves &amp; Pro Control Plumbing</t>
        </is>
      </c>
      <c r="C18" s="8" t="inlineStr">
        <is>
          <t>Electromagnetic Flow Meter Sensor</t>
        </is>
      </c>
      <c r="D18" s="9" t="inlineStr">
        <is>
          <t>106-4955 / 114-0153</t>
        </is>
      </c>
      <c r="E18" s="7" t="inlineStr">
        <is>
          <t>Precision turbine / magnetic induction rate sensor (GPM / LPM feedback)</t>
        </is>
      </c>
      <c r="F18" s="6" t="n">
        <v>1</v>
      </c>
      <c r="G18" s="6" t="inlineStr">
        <is>
          <t>Flow Instrumentation</t>
        </is>
      </c>
    </row>
    <row r="19" ht="21" customHeight="1">
      <c r="A19" s="10" t="inlineStr">
        <is>
          <t>2.07</t>
        </is>
      </c>
      <c r="B19" s="11" t="inlineStr">
        <is>
          <t>Filtration, Regulating Valves &amp; Pro Control Plumbing</t>
        </is>
      </c>
      <c r="C19" s="12" t="inlineStr">
        <is>
          <t>Chemical-Resistant Liquid Pressure Gauge</t>
        </is>
      </c>
      <c r="D19" s="13" t="inlineStr">
        <is>
          <t>106-4958 / 100-8451</t>
        </is>
      </c>
      <c r="E19" s="11" t="inlineStr">
        <is>
          <t>Glycerin-filled 0–100 PSI (0–7 bar) analog monitoring gauge</t>
        </is>
      </c>
      <c r="F19" s="10" t="n">
        <v>1</v>
      </c>
      <c r="G19" s="10" t="inlineStr">
        <is>
          <t>Monitoring Gauge</t>
        </is>
      </c>
    </row>
    <row r="20" ht="24" customHeight="1">
      <c r="A20" s="4" t="inlineStr">
        <is>
          <t>Triplet Nozzle Bodies, Spray Tips &amp; Boom Wings</t>
        </is>
      </c>
      <c r="B20" s="5" t="n"/>
      <c r="C20" s="5" t="n"/>
      <c r="D20" s="5" t="n"/>
      <c r="E20" s="5" t="n"/>
      <c r="F20" s="5" t="n"/>
      <c r="G20" s="5" t="n"/>
    </row>
    <row r="21" ht="21" customHeight="1">
      <c r="A21" s="10" t="inlineStr">
        <is>
          <t>3.01</t>
        </is>
      </c>
      <c r="B21" s="11" t="inlineStr">
        <is>
          <t>Triplet Nozzle Bodies, Spray Tips &amp; Boom Wings</t>
        </is>
      </c>
      <c r="C21" s="12" t="inlineStr">
        <is>
          <t>Turret Triplet Nozzle Body Assembly</t>
        </is>
      </c>
      <c r="D21" s="13" t="inlineStr">
        <is>
          <t>106-4970 / 114-0170</t>
        </is>
      </c>
      <c r="E21" s="11" t="inlineStr">
        <is>
          <t>3-Way indexable Quick-TeeJet turret with diaphragm check valve</t>
        </is>
      </c>
      <c r="F21" s="10" t="n">
        <v>11</v>
      </c>
      <c r="G21" s="10" t="inlineStr">
        <is>
          <t>Spray Nozzle Body</t>
        </is>
      </c>
    </row>
    <row r="22" ht="21" customHeight="1">
      <c r="A22" s="6" t="inlineStr">
        <is>
          <t>3.02</t>
        </is>
      </c>
      <c r="B22" s="7" t="inlineStr">
        <is>
          <t>Triplet Nozzle Bodies, Spray Tips &amp; Boom Wings</t>
        </is>
      </c>
      <c r="C22" s="8" t="inlineStr">
        <is>
          <t>Nozzle Diaphragm Check Valve Cap / Seal</t>
        </is>
      </c>
      <c r="D22" s="9" t="inlineStr">
        <is>
          <t>106-4972 / 114-0172</t>
        </is>
      </c>
      <c r="E22" s="7" t="inlineStr">
        <is>
          <t>10 PSI anti-drip shutoff Viton diaphragm seal</t>
        </is>
      </c>
      <c r="F22" s="6" t="n">
        <v>11</v>
      </c>
      <c r="G22" s="6" t="inlineStr">
        <is>
          <t>Anti-Drip Consumable</t>
        </is>
      </c>
    </row>
    <row r="23" ht="21" customHeight="1">
      <c r="A23" s="10" t="inlineStr">
        <is>
          <t>3.03</t>
        </is>
      </c>
      <c r="B23" s="11" t="inlineStr">
        <is>
          <t>Triplet Nozzle Bodies, Spray Tips &amp; Boom Wings</t>
        </is>
      </c>
      <c r="C23" s="12" t="inlineStr">
        <is>
          <t>Air Induction Turf Spray Tips (AIXR / Ultra Lo-Drift)</t>
        </is>
      </c>
      <c r="D23" s="13" t="inlineStr">
        <is>
          <t>106-4980 / AIXR11004</t>
        </is>
      </c>
      <c r="E23" s="11" t="inlineStr">
        <is>
          <t>0.4 GPM red low-drift air-induction flat fan spray tip (Pack of 11)</t>
        </is>
      </c>
      <c r="F23" s="10" t="n">
        <v>11</v>
      </c>
      <c r="G23" s="10" t="inlineStr">
        <is>
          <t>Cutting / Spray Tip</t>
        </is>
      </c>
    </row>
    <row r="24" ht="21" customHeight="1">
      <c r="A24" s="6" t="inlineStr">
        <is>
          <t>3.04</t>
        </is>
      </c>
      <c r="B24" s="7" t="inlineStr">
        <is>
          <t>Triplet Nozzle Bodies, Spray Tips &amp; Boom Wings</t>
        </is>
      </c>
      <c r="C24" s="8" t="inlineStr">
        <is>
          <t>Extended Range Flat Fan Spray Tips (XR11003)</t>
        </is>
      </c>
      <c r="D24" s="9" t="inlineStr">
        <is>
          <t>106-4981 / XR11003</t>
        </is>
      </c>
      <c r="E24" s="7" t="inlineStr">
        <is>
          <t>0.3 GPM blue precision flat fan spray tip (Pack of 11)</t>
        </is>
      </c>
      <c r="F24" s="6" t="n">
        <v>11</v>
      </c>
      <c r="G24" s="6" t="inlineStr">
        <is>
          <t>Spray Tip</t>
        </is>
      </c>
    </row>
    <row r="25" ht="21" customHeight="1">
      <c r="A25" s="10" t="inlineStr">
        <is>
          <t>3.05</t>
        </is>
      </c>
      <c r="B25" s="11" t="inlineStr">
        <is>
          <t>Triplet Nozzle Bodies, Spray Tips &amp; Boom Wings</t>
        </is>
      </c>
      <c r="C25" s="12" t="inlineStr">
        <is>
          <t>Boom Breakaway Spring &amp; Hinge Joint Assembly</t>
        </is>
      </c>
      <c r="D25" s="13" t="inlineStr">
        <is>
          <t>106-4985 / 114-0180</t>
        </is>
      </c>
      <c r="E25" s="11" t="inlineStr">
        <is>
          <t>Heavy spring-loaded bi-directional breakaway hinge for outer wings</t>
        </is>
      </c>
      <c r="F25" s="10" t="n">
        <v>2</v>
      </c>
      <c r="G25" s="10" t="inlineStr">
        <is>
          <t>Boom Hardware</t>
        </is>
      </c>
    </row>
    <row r="26" ht="21" customHeight="1">
      <c r="A26" s="6" t="inlineStr">
        <is>
          <t>3.06</t>
        </is>
      </c>
      <c r="B26" s="7" t="inlineStr">
        <is>
          <t>Triplet Nozzle Bodies, Spray Tips &amp; Boom Wings</t>
        </is>
      </c>
      <c r="C26" s="8" t="inlineStr">
        <is>
          <t>Boom Lift Hydraulic Actuator Cylinder</t>
        </is>
      </c>
      <c r="D26" s="9" t="inlineStr">
        <is>
          <t>106-4988 / 114-0185</t>
        </is>
      </c>
      <c r="E26" s="7" t="inlineStr">
        <is>
          <t>Double-acting hydraulic cylinder for folding/lifting left/right wings</t>
        </is>
      </c>
      <c r="F26" s="6" t="n">
        <v>2</v>
      </c>
      <c r="G26" s="6" t="inlineStr">
        <is>
          <t>Hydraulic Actuator</t>
        </is>
      </c>
    </row>
    <row r="27" ht="24" customHeight="1">
      <c r="A27" s="4" t="inlineStr">
        <is>
          <t>Traction Chassis, Engine Consumables &amp; Electrical</t>
        </is>
      </c>
      <c r="B27" s="5" t="n"/>
      <c r="C27" s="5" t="n"/>
      <c r="D27" s="5" t="n"/>
      <c r="E27" s="5" t="n"/>
      <c r="F27" s="5" t="n"/>
      <c r="G27" s="5" t="n"/>
    </row>
    <row r="28" ht="21" customHeight="1">
      <c r="A28" s="6" t="inlineStr">
        <is>
          <t>4.01</t>
        </is>
      </c>
      <c r="B28" s="7" t="inlineStr">
        <is>
          <t>Traction Chassis, Engine Consumables &amp; Electrical</t>
        </is>
      </c>
      <c r="C28" s="8" t="inlineStr">
        <is>
          <t>Engine Lube Oil Filter (Kohler Aegis / Kubota)</t>
        </is>
      </c>
      <c r="D28" s="9" t="inlineStr">
        <is>
          <t>104-5167 / 108-3841</t>
        </is>
      </c>
      <c r="E28" s="7" t="inlineStr">
        <is>
          <t>Full flow spin-on lube oil filter cartridge</t>
        </is>
      </c>
      <c r="F28" s="6" t="n">
        <v>1</v>
      </c>
      <c r="G28" s="6" t="inlineStr">
        <is>
          <t>Routine Consumable</t>
        </is>
      </c>
    </row>
    <row r="29" ht="21" customHeight="1">
      <c r="A29" s="10" t="inlineStr">
        <is>
          <t>4.02</t>
        </is>
      </c>
      <c r="B29" s="11" t="inlineStr">
        <is>
          <t>Traction Chassis, Engine Consumables &amp; Electrical</t>
        </is>
      </c>
      <c r="C29" s="12" t="inlineStr">
        <is>
          <t>Primary &amp; Secondary Dry Air Cleaner Filters</t>
        </is>
      </c>
      <c r="D29" s="13" t="inlineStr">
        <is>
          <t>108-3810 / 108-3811</t>
        </is>
      </c>
      <c r="E29" s="11" t="inlineStr">
        <is>
          <t>Dual-stage heavy-duty RadialSeal pleated air filter canister</t>
        </is>
      </c>
      <c r="F29" s="10" t="n">
        <v>2</v>
      </c>
      <c r="G29" s="10" t="inlineStr">
        <is>
          <t>Routine Consumable</t>
        </is>
      </c>
    </row>
    <row r="30" ht="21" customHeight="1">
      <c r="A30" s="6" t="inlineStr">
        <is>
          <t>4.03</t>
        </is>
      </c>
      <c r="B30" s="7" t="inlineStr">
        <is>
          <t>Traction Chassis, Engine Consumables &amp; Electrical</t>
        </is>
      </c>
      <c r="C30" s="8" t="inlineStr">
        <is>
          <t>Spin-On / Inline Fuel Water Separator Filter</t>
        </is>
      </c>
      <c r="D30" s="9" t="inlineStr">
        <is>
          <t>108-3831 / 110-6101</t>
        </is>
      </c>
      <c r="E30" s="7" t="inlineStr">
        <is>
          <t>Sediment and water separation filter cartridge</t>
        </is>
      </c>
      <c r="F30" s="6" t="n">
        <v>1</v>
      </c>
      <c r="G30" s="6" t="inlineStr">
        <is>
          <t>Routine Consumable</t>
        </is>
      </c>
    </row>
    <row r="31" ht="21" customHeight="1">
      <c r="A31" s="10" t="inlineStr">
        <is>
          <t>4.04</t>
        </is>
      </c>
      <c r="B31" s="11" t="inlineStr">
        <is>
          <t>Traction Chassis, Engine Consumables &amp; Electrical</t>
        </is>
      </c>
      <c r="C31" s="12" t="inlineStr">
        <is>
          <t>Hydraulic Return Line Filter Element (10-Micron)</t>
        </is>
      </c>
      <c r="D31" s="13" t="inlineStr">
        <is>
          <t>104-7011 / 108-3850</t>
        </is>
      </c>
      <c r="E31" s="11" t="inlineStr">
        <is>
          <t>High-efficiency spin-on hydraulic filtration cartridge</t>
        </is>
      </c>
      <c r="F31" s="10" t="n">
        <v>1</v>
      </c>
      <c r="G31" s="10" t="inlineStr">
        <is>
          <t>Hydraulic Consumable</t>
        </is>
      </c>
    </row>
    <row r="32" ht="21" customHeight="1">
      <c r="A32" s="6" t="inlineStr">
        <is>
          <t>4.05</t>
        </is>
      </c>
      <c r="B32" s="7" t="inlineStr">
        <is>
          <t>Traction Chassis, Engine Consumables &amp; Electrical</t>
        </is>
      </c>
      <c r="C32" s="8" t="inlineStr">
        <is>
          <t>Wheel Speed Radar / Hall Effect Ground Sensor</t>
        </is>
      </c>
      <c r="D32" s="9" t="inlineStr">
        <is>
          <t>106-4960 / 114-0155</t>
        </is>
      </c>
      <c r="E32" s="7" t="inlineStr">
        <is>
          <t>Magnetic wheel speed pickup for automatic rate application sync</t>
        </is>
      </c>
      <c r="F32" s="6" t="n">
        <v>1</v>
      </c>
      <c r="G32" s="6" t="inlineStr">
        <is>
          <t>Electronic Sensor</t>
        </is>
      </c>
    </row>
    <row r="33" ht="21" customHeight="1">
      <c r="A33" s="10" t="inlineStr">
        <is>
          <t>4.06</t>
        </is>
      </c>
      <c r="B33" s="11" t="inlineStr">
        <is>
          <t>Traction Chassis, Engine Consumables &amp; Electrical</t>
        </is>
      </c>
      <c r="C33" s="12" t="inlineStr">
        <is>
          <t>Console Spray Pro Control Electronic Switchbox</t>
        </is>
      </c>
      <c r="D33" s="13" t="inlineStr">
        <is>
          <t>106-4965 / 114-0160</t>
        </is>
      </c>
      <c r="E33" s="11" t="inlineStr">
        <is>
          <t>Operator console toggle switch module (Master, Boom 1-2-3)</t>
        </is>
      </c>
      <c r="F33" s="10" t="n">
        <v>1</v>
      </c>
      <c r="G33" s="10" t="inlineStr">
        <is>
          <t>Operator Interface</t>
        </is>
      </c>
    </row>
    <row r="34" ht="25" customHeight="1">
      <c r="A34" s="14" t="inlineStr">
        <is>
          <t>TOTAL INDENT / BOM LINE ITEMS</t>
        </is>
      </c>
      <c r="B34" s="15" t="n"/>
      <c r="C34" s="15" t="n"/>
      <c r="D34" s="15" t="n"/>
      <c r="E34" s="15" t="n"/>
      <c r="F34" s="16">
        <f>SUM(F5:F33)</f>
        <v/>
      </c>
      <c r="G34" s="17" t="inlineStr"/>
    </row>
  </sheetData>
  <mergeCells count="7">
    <mergeCell ref="A34:E34"/>
    <mergeCell ref="A1:G1"/>
    <mergeCell ref="A27:G27"/>
    <mergeCell ref="A12:G12"/>
    <mergeCell ref="A20:G2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24" customWidth="1" min="3" max="3"/>
    <col width="24" customWidth="1" min="4" max="4"/>
    <col width="20" customWidth="1" min="5" max="5"/>
  </cols>
  <sheetData>
    <row r="1" ht="35" customHeight="1">
      <c r="A1" s="18" t="inlineStr">
        <is>
          <t>TORO MULTI PRO SPRAYER - CALIBRATION, NOZZLE &amp; PUMP WORKSHOP PROTOCOLS</t>
        </is>
      </c>
    </row>
    <row r="3">
      <c r="A3" s="19" t="inlineStr">
        <is>
          <t>Multi-Stage Spray Filtration Rating System</t>
        </is>
      </c>
    </row>
    <row r="4" ht="24" customHeight="1">
      <c r="A4" s="20" t="inlineStr">
        <is>
          <t>Filter Stage / Location</t>
        </is>
      </c>
      <c r="B4" s="20" t="inlineStr">
        <is>
          <t>Mesh Size (Rating)</t>
        </is>
      </c>
      <c r="C4" s="20" t="inlineStr">
        <is>
          <t>Primary Function</t>
        </is>
      </c>
      <c r="D4" s="20" t="inlineStr">
        <is>
          <t>Cleaning Protocol</t>
        </is>
      </c>
    </row>
    <row r="5" ht="20" customHeight="1">
      <c r="A5" s="21" t="inlineStr">
        <is>
          <t>Main Suction Filter (Tank Sump)</t>
        </is>
      </c>
      <c r="B5" s="22" t="inlineStr">
        <is>
          <t>30 Mesh (Coarse)</t>
        </is>
      </c>
      <c r="C5" s="22" t="inlineStr">
        <is>
          <t>Protects 6-diaphragm pump from insoluble chemical powder clumps &amp; tank debris</t>
        </is>
      </c>
      <c r="D5" s="22" t="inlineStr">
        <is>
          <t>Daily after spray operation</t>
        </is>
      </c>
    </row>
    <row r="6" ht="20" customHeight="1">
      <c r="A6" s="23" t="inlineStr">
        <is>
          <t>Pressure Line Filter (Post-Pump)</t>
        </is>
      </c>
      <c r="B6" s="24" t="inlineStr">
        <is>
          <t>50 Mesh (Medium)</t>
        </is>
      </c>
      <c r="C6" s="24" t="inlineStr">
        <is>
          <t>Protects proportional regulating valve and flow meter turbine sensor</t>
        </is>
      </c>
      <c r="D6" s="24" t="inlineStr">
        <is>
          <t>Clean every 20 operating hours</t>
        </is>
      </c>
    </row>
    <row r="7" ht="20" customHeight="1">
      <c r="A7" s="21" t="inlineStr">
        <is>
          <t>Boom Section Filters (Left/Center/Right)</t>
        </is>
      </c>
      <c r="B7" s="22" t="inlineStr">
        <is>
          <t>80 Mesh or 100 Mesh (Fine)</t>
        </is>
      </c>
      <c r="C7" s="22" t="inlineStr">
        <is>
          <t>Protects individual nozzle spray tips from clogging</t>
        </is>
      </c>
      <c r="D7" s="22" t="inlineStr">
        <is>
          <t>Inspect weekly / prior to application</t>
        </is>
      </c>
    </row>
    <row r="8" ht="20" customHeight="1">
      <c r="A8" s="23" t="inlineStr">
        <is>
          <t>Nozzle Body Tip Strainers</t>
        </is>
      </c>
      <c r="B8" s="24" t="inlineStr">
        <is>
          <t>50 or 100 Mesh with check valve</t>
        </is>
      </c>
      <c r="C8" s="24" t="inlineStr">
        <is>
          <t>Final barrier behind individual spray tip with 10 PSI anti-drip</t>
        </is>
      </c>
      <c r="D8" s="24" t="inlineStr">
        <is>
          <t>Clean with soft brush (never wire)</t>
        </is>
      </c>
    </row>
    <row r="11">
      <c r="A11" s="19" t="inlineStr">
        <is>
          <t>Key Workshop Calibration &amp; Maintenance Rules</t>
        </is>
      </c>
    </row>
    <row r="12" ht="38" customHeight="1">
      <c r="A12" s="25" t="inlineStr">
        <is>
          <t>1. Six-Diaphragm Pump Pulsation Pre-Charge</t>
        </is>
      </c>
      <c r="B12" s="26" t="inlineStr">
        <is>
          <t>The top air accumulator damper (106-4995) must be pre-charged with compressed air to approximately 10%–20% below operating spray pressure (typically 30–40 PSI / 2.1–2.8 bar). Incorrect damper charge causes severe hose pulsing and erratic flow meter readouts.</t>
        </is>
      </c>
    </row>
    <row r="13" ht="38" customHeight="1">
      <c r="A13" s="25" t="inlineStr">
        <is>
          <t>2. Flow Meter Calibration &amp; Pro Control Sync</t>
        </is>
      </c>
      <c r="B13" s="26" t="inlineStr">
        <is>
          <t>Conduct catch-can flow rate calibration across all 11 nozzle bodies monthly. If actual caught volume deviates by &gt;3% from console digital reading, calibrate the flow meter constant (pulses/gallon) and inspect the magnetic rotor for chemical buildup.</t>
        </is>
      </c>
    </row>
    <row r="14" ht="38" customHeight="1">
      <c r="A14" s="25" t="inlineStr">
        <is>
          <t>3. Anti-Drip Diaphragm Check Valve Service</t>
        </is>
      </c>
      <c r="B14" s="26" t="inlineStr">
        <is>
          <t>Individual triplet bodies contain spring-loaded Viton diaphragms (106-4972) designed to seal below 10 PSI. If nozzles drip when the master switch is shut off, disassemble turret caps and remove chemical residue or replace stiffened rubber discs.</t>
        </is>
      </c>
    </row>
    <row r="15" ht="38" customHeight="1">
      <c r="A15" s="25" t="inlineStr">
        <is>
          <t>4. Winterization &amp; Chemical Flushing</t>
        </is>
      </c>
      <c r="B15" s="26" t="inlineStr">
        <is>
          <t>Never leave agrochemicals, fertilizers, or water in the pump/plumbing overnight during winter or storage. Flush system with clean water and neutralizer, then circulate 50:50 non-toxic RV antifreeze through all boom sections and agitation jets to prevent cracked manifolds.</t>
        </is>
      </c>
    </row>
    <row r="16" ht="38" customHeight="1">
      <c r="A16" s="25" t="inlineStr">
        <is>
          <t>5. Boom Breakaway Spring Tension</t>
        </is>
      </c>
      <c r="B16" s="26" t="inlineStr">
        <is>
          <t>The outer wing breakaway hinges (106-4985) must be set to release upon hitting trees or fence posts, then self-return to center. Lubricate pivot joints regularly and ensure return tension prevents boom whipping during turns.</t>
        </is>
      </c>
    </row>
  </sheetData>
  <mergeCells count="6">
    <mergeCell ref="B12:E12"/>
    <mergeCell ref="B13:E13"/>
    <mergeCell ref="B16:E16"/>
    <mergeCell ref="B15:E15"/>
    <mergeCell ref="A1:E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2026-10-12T17:08:59Z</dcterms:created>
  <dcterms:modified xmlns:dcterms="http://purl.org/dc/terms/" xmlns:xsi="http://www.w3.org/2001/XMLSchema-instance" xsi:type="dcterms:W3CDTF">2026-10-12T17:08:59Z</dcterms:modified>
</cp:coreProperties>
</file>