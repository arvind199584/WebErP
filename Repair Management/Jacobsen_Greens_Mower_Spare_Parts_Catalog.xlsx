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s Mower Spares Catalog" sheetId="1" state="visible" r:id="rId1"/>
    <sheet xmlns:r="http://schemas.openxmlformats.org/officeDocument/2006/relationships" name="Maintenance &amp; Grinding Guid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i val="1"/>
      <color rgb="00333333"/>
      <sz val="10"/>
    </font>
    <font>
      <name val="Calibri"/>
      <b val="1"/>
      <color rgb="00FFFFFF"/>
      <sz val="11"/>
    </font>
    <font>
      <name val="Calibri"/>
      <b val="1"/>
      <color rgb="001F4E79"/>
      <sz val="11"/>
    </font>
    <font>
      <name val="Calibri"/>
      <sz val="10"/>
    </font>
    <font>
      <name val="Calibri"/>
      <b val="1"/>
      <sz val="10"/>
    </font>
    <font>
      <name val="Consolas"/>
      <b val="1"/>
      <color rgb="001F4E79"/>
      <sz val="9"/>
    </font>
  </fonts>
  <fills count="7">
    <fill>
      <patternFill/>
    </fill>
    <fill>
      <patternFill patternType="gray125"/>
    </fill>
    <fill>
      <patternFill patternType="solid">
        <fgColor rgb="001B365D"/>
        <bgColor rgb="001B365D"/>
      </patternFill>
    </fill>
    <fill>
      <patternFill patternType="solid">
        <fgColor rgb="001F4E79"/>
        <bgColor rgb="001F4E79"/>
      </patternFill>
    </fill>
    <fill>
      <patternFill patternType="solid">
        <fgColor rgb="00D9E1F2"/>
        <bgColor rgb="00D9E1F2"/>
      </patternFill>
    </fill>
    <fill>
      <patternFill patternType="solid">
        <fgColor rgb="00F2F5F9"/>
        <bgColor rgb="00F2F5F9"/>
      </patternFill>
    </fill>
    <fill>
      <patternFill patternType="solid">
        <fgColor rgb="00E9EEF4"/>
        <bgColor rgb="00E9EEF4"/>
      </patternFill>
    </fill>
  </fills>
  <borders count="5">
    <border>
      <left/>
      <right/>
      <top/>
      <bottom/>
      <diagonal/>
    </border>
    <border>
      <left style="thin">
        <color rgb="00D9D9D9"/>
      </left>
      <right style="thin">
        <color rgb="00D9D9D9"/>
      </right>
      <top style="thin">
        <color rgb="00D9D9D9"/>
      </top>
      <bottom style="medium">
        <color rgb="001F4E79"/>
      </bottom>
    </border>
    <border>
      <top style="thin">
        <color rgb="00D9D9D9"/>
      </top>
      <bottom style="thin">
        <color rgb="00D9D9D9"/>
      </bottom>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9"/>
      </top>
      <bottom style="medium">
        <color rgb="001F4E79"/>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2" applyAlignment="1" pivotButton="0" quotePrefix="0" xfId="0">
      <alignment horizontal="left" vertical="center" indent="1"/>
    </xf>
    <xf numFmtId="0" fontId="0" fillId="0" borderId="2" pivotButton="0" quotePrefix="0" xfId="0"/>
    <xf numFmtId="0" fontId="5" fillId="5" borderId="3" applyAlignment="1" pivotButton="0" quotePrefix="0" xfId="0">
      <alignment horizontal="center" vertical="center"/>
    </xf>
    <xf numFmtId="0" fontId="5" fillId="5" borderId="3" applyAlignment="1" pivotButton="0" quotePrefix="0" xfId="0">
      <alignment horizontal="left" vertical="center"/>
    </xf>
    <xf numFmtId="0" fontId="6" fillId="5" borderId="3" applyAlignment="1" pivotButton="0" quotePrefix="0" xfId="0">
      <alignment horizontal="left" vertical="center"/>
    </xf>
    <xf numFmtId="0" fontId="7" fillId="5" borderId="3" applyAlignment="1" pivotButton="0" quotePrefix="0" xfId="0">
      <alignment horizontal="left" vertical="center"/>
    </xf>
    <xf numFmtId="0" fontId="5" fillId="0" borderId="3" applyAlignment="1" pivotButton="0" quotePrefix="0" xfId="0">
      <alignment horizontal="center" vertical="center"/>
    </xf>
    <xf numFmtId="0" fontId="5" fillId="0" borderId="3" applyAlignment="1" pivotButton="0" quotePrefix="0" xfId="0">
      <alignment horizontal="left" vertical="center"/>
    </xf>
    <xf numFmtId="0" fontId="6" fillId="0" borderId="3" applyAlignment="1" pivotButton="0" quotePrefix="0" xfId="0">
      <alignment horizontal="left" vertical="center"/>
    </xf>
    <xf numFmtId="0" fontId="7" fillId="0" borderId="3" applyAlignment="1" pivotButton="0" quotePrefix="0" xfId="0">
      <alignment horizontal="left" vertical="center"/>
    </xf>
    <xf numFmtId="0" fontId="4" fillId="6" borderId="4" applyAlignment="1" pivotButton="0" quotePrefix="0" xfId="0">
      <alignment horizontal="right" vertical="center"/>
    </xf>
    <xf numFmtId="0" fontId="0" fillId="0" borderId="4" pivotButton="0" quotePrefix="0" xfId="0"/>
    <xf numFmtId="0" fontId="4" fillId="6" borderId="4" applyAlignment="1" pivotButton="0" quotePrefix="0" xfId="0">
      <alignment horizontal="center" vertical="center"/>
    </xf>
    <xf numFmtId="0" fontId="0" fillId="6" borderId="4" pivotButton="0" quotePrefix="0" xfId="0"/>
    <xf numFmtId="0" fontId="1" fillId="3" borderId="0" applyAlignment="1" pivotButton="0" quotePrefix="0" xfId="0">
      <alignment horizontal="center" vertical="center"/>
    </xf>
    <xf numFmtId="0" fontId="4" fillId="0" borderId="0" pivotButton="0" quotePrefix="0" xfId="0"/>
    <xf numFmtId="0" fontId="6"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pane ySplit="4" topLeftCell="A5" activePane="bottomLeft" state="frozen"/>
      <selection pane="bottomLeft" activeCell="A1" sqref="A1"/>
    </sheetView>
  </sheetViews>
  <sheetFormatPr baseColWidth="8" defaultRowHeight="15"/>
  <cols>
    <col width="10" customWidth="1" min="1" max="1"/>
    <col width="30" customWidth="1" min="2" max="2"/>
    <col width="38" customWidth="1" min="3" max="3"/>
    <col width="26" customWidth="1" min="4" max="4"/>
    <col width="46" customWidth="1" min="5" max="5"/>
    <col width="12" customWidth="1" min="6" max="6"/>
    <col width="24" customWidth="1" min="7" max="7"/>
  </cols>
  <sheetData>
    <row r="1" ht="40" customHeight="1">
      <c r="A1" s="1" t="inlineStr">
        <is>
          <t>JACOBSEN GREENS MOWER (GREENS KING / ECLIPSE SERIES) - SPARE PARTS CATALOG &amp; BOM</t>
        </is>
      </c>
    </row>
    <row r="2" ht="20" customHeight="1">
      <c r="A2" s="2" t="inlineStr">
        <is>
          <t>Walk-Behind &amp; Riding Triplex Greens Units (GK IV, GK 522, Eclipse 122/322 - 22" Platform Standard)</t>
        </is>
      </c>
    </row>
    <row r="4" ht="28" customHeight="1">
      <c r="A4" s="3" t="inlineStr">
        <is>
          <t>Item No.</t>
        </is>
      </c>
      <c r="B4" s="3" t="inlineStr">
        <is>
          <t>Assembly Group</t>
        </is>
      </c>
      <c r="C4" s="3" t="inlineStr">
        <is>
          <t>Part / Component Description</t>
        </is>
      </c>
      <c r="D4" s="3" t="inlineStr">
        <is>
          <t>Jacobsen OEM Part No. / Ref.</t>
        </is>
      </c>
      <c r="E4" s="3" t="inlineStr">
        <is>
          <t>Technical Specification / Profile</t>
        </is>
      </c>
      <c r="F4" s="3" t="inlineStr">
        <is>
          <t>Qty / Head</t>
        </is>
      </c>
      <c r="G4" s="3" t="inlineStr">
        <is>
          <t>Maintenance Category</t>
        </is>
      </c>
    </row>
    <row r="5" ht="24" customHeight="1">
      <c r="A5" s="4" t="inlineStr">
        <is>
          <t>Reel Cylinder &amp; Bedknife Cutting Assembly (22" Platform)</t>
        </is>
      </c>
      <c r="B5" s="5" t="n"/>
      <c r="C5" s="5" t="n"/>
      <c r="D5" s="5" t="n"/>
      <c r="E5" s="5" t="n"/>
      <c r="F5" s="5" t="n"/>
      <c r="G5" s="5" t="n"/>
    </row>
    <row r="6" ht="21" customHeight="1">
      <c r="A6" s="6" t="inlineStr">
        <is>
          <t>1.01</t>
        </is>
      </c>
      <c r="B6" s="7" t="inlineStr">
        <is>
          <t>Reel Cylinder &amp; Bedknife Cutting Assembly</t>
        </is>
      </c>
      <c r="C6" s="8" t="inlineStr">
        <is>
          <t>22" Cutting Cylinder Reel (11-Blade)</t>
        </is>
      </c>
      <c r="D6" s="9" t="inlineStr">
        <is>
          <t>5000148 / 503616</t>
        </is>
      </c>
      <c r="E6" s="7" t="inlineStr">
        <is>
          <t>22" (559 mm) diameter 5" (127 mm), 11-blade high frequency tournament cut</t>
        </is>
      </c>
      <c r="F6" s="6" t="n">
        <v>1</v>
      </c>
      <c r="G6" s="6" t="inlineStr">
        <is>
          <t>Primary Cutting Cylinder</t>
        </is>
      </c>
    </row>
    <row r="7" ht="21" customHeight="1">
      <c r="A7" s="10" t="inlineStr">
        <is>
          <t>1.02</t>
        </is>
      </c>
      <c r="B7" s="11" t="inlineStr">
        <is>
          <t>Reel Cylinder &amp; Bedknife Cutting Assembly</t>
        </is>
      </c>
      <c r="C7" s="12" t="inlineStr">
        <is>
          <t>22" Cutting Cylinder Reel (9-Blade Alternative)</t>
        </is>
      </c>
      <c r="D7" s="13" t="inlineStr">
        <is>
          <t>5000147 / 503615</t>
        </is>
      </c>
      <c r="E7" s="11" t="inlineStr">
        <is>
          <t>22" 9-blade reel for general greens &amp; tee mowing</t>
        </is>
      </c>
      <c r="F7" s="10" t="n">
        <v>1</v>
      </c>
      <c r="G7" s="10" t="inlineStr">
        <is>
          <t>Alternative Cylinder</t>
        </is>
      </c>
    </row>
    <row r="8" ht="21" customHeight="1">
      <c r="A8" s="6" t="inlineStr">
        <is>
          <t>1.03</t>
        </is>
      </c>
      <c r="B8" s="7" t="inlineStr">
        <is>
          <t>Reel Cylinder &amp; Bedknife Cutting Assembly</t>
        </is>
      </c>
      <c r="C8" s="8" t="inlineStr">
        <is>
          <t>Tournament Bedknife (Low Cut 0.094"-0.156")</t>
        </is>
      </c>
      <c r="D8" s="9" t="inlineStr">
        <is>
          <t>503479 / 503029</t>
        </is>
      </c>
      <c r="E8" s="7" t="inlineStr">
        <is>
          <t>22" Hardened carbon tool steel, 13 countersunk screw holes</t>
        </is>
      </c>
      <c r="F8" s="6" t="n">
        <v>1</v>
      </c>
      <c r="G8" s="6" t="inlineStr">
        <is>
          <t>Critical Wear Bedknife</t>
        </is>
      </c>
    </row>
    <row r="9" ht="21" customHeight="1">
      <c r="A9" s="10" t="inlineStr">
        <is>
          <t>1.04</t>
        </is>
      </c>
      <c r="B9" s="11" t="inlineStr">
        <is>
          <t>Reel Cylinder &amp; Bedknife Cutting Assembly</t>
        </is>
      </c>
      <c r="C9" s="12" t="inlineStr">
        <is>
          <t>Super Tournament Bedknife (Micro Cut 0.082"-0.109")</t>
        </is>
      </c>
      <c r="D9" s="13" t="inlineStr">
        <is>
          <t>5002887</t>
        </is>
      </c>
      <c r="E9" s="11" t="inlineStr">
        <is>
          <t>22" Ultra-thin lip bedknife for fast greens presentation</t>
        </is>
      </c>
      <c r="F9" s="10" t="n">
        <v>1</v>
      </c>
      <c r="G9" s="10" t="inlineStr">
        <is>
          <t>Critical Wear Bedknife</t>
        </is>
      </c>
    </row>
    <row r="10" ht="21" customHeight="1">
      <c r="A10" s="6" t="inlineStr">
        <is>
          <t>1.05</t>
        </is>
      </c>
      <c r="B10" s="7" t="inlineStr">
        <is>
          <t>Reel Cylinder &amp; Bedknife Cutting Assembly</t>
        </is>
      </c>
      <c r="C10" s="8" t="inlineStr">
        <is>
          <t>High Profile Bedknife (Tee / Collar 0.156"-0.438")</t>
        </is>
      </c>
      <c r="D10" s="9" t="inlineStr">
        <is>
          <t>503477 / 101261</t>
        </is>
      </c>
      <c r="E10" s="7" t="inlineStr">
        <is>
          <t>22" Thick section bedknife for higher cuts &amp; apron aprons</t>
        </is>
      </c>
      <c r="F10" s="6" t="n">
        <v>1</v>
      </c>
      <c r="G10" s="6" t="inlineStr">
        <is>
          <t>Alternative Bedknife</t>
        </is>
      </c>
    </row>
    <row r="11" ht="21" customHeight="1">
      <c r="A11" s="10" t="inlineStr">
        <is>
          <t>1.06</t>
        </is>
      </c>
      <c r="B11" s="11" t="inlineStr">
        <is>
          <t>Reel Cylinder &amp; Bedknife Cutting Assembly</t>
        </is>
      </c>
      <c r="C11" s="12" t="inlineStr">
        <is>
          <t>Bedknife Mounting Screws (13-Hole Kit)</t>
        </is>
      </c>
      <c r="D11" s="13" t="inlineStr">
        <is>
          <t>101272 / 402578 / 800813</t>
        </is>
      </c>
      <c r="E11" s="11" t="inlineStr">
        <is>
          <t>1/4"-20 x 1/2" Slotted countersunk high-tensile fasteners (Pack of 13)</t>
        </is>
      </c>
      <c r="F11" s="10" t="n">
        <v>13</v>
      </c>
      <c r="G11" s="10" t="inlineStr">
        <is>
          <t>Fastener Hardware</t>
        </is>
      </c>
    </row>
    <row r="12" ht="21" customHeight="1">
      <c r="A12" s="6" t="inlineStr">
        <is>
          <t>1.07</t>
        </is>
      </c>
      <c r="B12" s="7" t="inlineStr">
        <is>
          <t>Reel Cylinder &amp; Bedknife Cutting Assembly</t>
        </is>
      </c>
      <c r="C12" s="8" t="inlineStr">
        <is>
          <t>Bedknife Bed Bar / Shoe Carrier</t>
        </is>
      </c>
      <c r="D12" s="9" t="inlineStr">
        <is>
          <t>5000415 / 2501247</t>
        </is>
      </c>
      <c r="E12" s="7" t="inlineStr">
        <is>
          <t>Heavy cast iron pivot bed bar supporting the bottom blade</t>
        </is>
      </c>
      <c r="F12" s="6" t="n">
        <v>1</v>
      </c>
      <c r="G12" s="6" t="inlineStr">
        <is>
          <t>Structural Sub-Assembly</t>
        </is>
      </c>
    </row>
    <row r="13" ht="21" customHeight="1">
      <c r="A13" s="10" t="inlineStr">
        <is>
          <t>1.08</t>
        </is>
      </c>
      <c r="B13" s="11" t="inlineStr">
        <is>
          <t>Reel Cylinder &amp; Bedknife Cutting Assembly</t>
        </is>
      </c>
      <c r="C13" s="12" t="inlineStr">
        <is>
          <t>Reel Bearing &amp; Seal Kit</t>
        </is>
      </c>
      <c r="D13" s="13" t="inlineStr">
        <is>
          <t>366649 / 366645</t>
        </is>
      </c>
      <c r="E13" s="11" t="inlineStr">
        <is>
          <t>Precision angular contact/taper roller bearings &amp; grease seals</t>
        </is>
      </c>
      <c r="F13" s="10" t="n">
        <v>2</v>
      </c>
      <c r="G13" s="10" t="inlineStr">
        <is>
          <t>Bearing / Overhaul</t>
        </is>
      </c>
    </row>
    <row r="14" ht="21" customHeight="1">
      <c r="A14" s="6" t="inlineStr">
        <is>
          <t>1.09</t>
        </is>
      </c>
      <c r="B14" s="7" t="inlineStr">
        <is>
          <t>Reel Cylinder &amp; Bedknife Cutting Assembly</t>
        </is>
      </c>
      <c r="C14" s="8" t="inlineStr">
        <is>
          <t>Bedknife Adjuster Screws &amp; Spring Tensioners</t>
        </is>
      </c>
      <c r="D14" s="9" t="inlineStr">
        <is>
          <t>2811121 / 2811122</t>
        </is>
      </c>
      <c r="E14" s="7" t="inlineStr">
        <is>
          <t>Fine micrometer adjustment screws for reel-to-bedknife contact</t>
        </is>
      </c>
      <c r="F14" s="6" t="n">
        <v>2</v>
      </c>
      <c r="G14" s="6" t="inlineStr">
        <is>
          <t>Precision Hardware</t>
        </is>
      </c>
    </row>
    <row r="15" ht="24" customHeight="1">
      <c r="A15" s="4" t="inlineStr">
        <is>
          <t>Front &amp; Rear Rollers (Height of Cut Adjustment)</t>
        </is>
      </c>
      <c r="B15" s="5" t="n"/>
      <c r="C15" s="5" t="n"/>
      <c r="D15" s="5" t="n"/>
      <c r="E15" s="5" t="n"/>
      <c r="F15" s="5" t="n"/>
      <c r="G15" s="5" t="n"/>
    </row>
    <row r="16" ht="21" customHeight="1">
      <c r="A16" s="6" t="inlineStr">
        <is>
          <t>2.01</t>
        </is>
      </c>
      <c r="B16" s="7" t="inlineStr">
        <is>
          <t>Front &amp; Rear Rollers</t>
        </is>
      </c>
      <c r="C16" s="8" t="inlineStr">
        <is>
          <t>Front Grooved / Machined Wiehle Roller (22")</t>
        </is>
      </c>
      <c r="D16" s="9" t="inlineStr">
        <is>
          <t>5003153 / 1003444</t>
        </is>
      </c>
      <c r="E16" s="7" t="inlineStr">
        <is>
          <t>22" Machined aluminum grooved Wiehle roller for precise turf tracking</t>
        </is>
      </c>
      <c r="F16" s="6" t="n">
        <v>1</v>
      </c>
      <c r="G16" s="6" t="inlineStr">
        <is>
          <t>Front Roller Assembly</t>
        </is>
      </c>
    </row>
    <row r="17" ht="21" customHeight="1">
      <c r="A17" s="10" t="inlineStr">
        <is>
          <t>2.02</t>
        </is>
      </c>
      <c r="B17" s="11" t="inlineStr">
        <is>
          <t>Front &amp; Rear Rollers</t>
        </is>
      </c>
      <c r="C17" s="12" t="inlineStr">
        <is>
          <t>Front Smooth Solid Roller (22" Alternative)</t>
        </is>
      </c>
      <c r="D17" s="13" t="inlineStr">
        <is>
          <t>5003152</t>
        </is>
      </c>
      <c r="E17" s="11" t="inlineStr">
        <is>
          <t>22" Solid smooth steel/aluminum front roller (softer turf conditions)</t>
        </is>
      </c>
      <c r="F17" s="10" t="n">
        <v>1</v>
      </c>
      <c r="G17" s="10" t="inlineStr">
        <is>
          <t>Alternative Roller</t>
        </is>
      </c>
    </row>
    <row r="18" ht="21" customHeight="1">
      <c r="A18" s="6" t="inlineStr">
        <is>
          <t>2.03</t>
        </is>
      </c>
      <c r="B18" s="7" t="inlineStr">
        <is>
          <t>Front &amp; Rear Rollers</t>
        </is>
      </c>
      <c r="C18" s="8" t="inlineStr">
        <is>
          <t>Front Roller Sealed Bearings</t>
        </is>
      </c>
      <c r="D18" s="9" t="inlineStr">
        <is>
          <t>2500012 / 6202-2RS</t>
        </is>
      </c>
      <c r="E18" s="7" t="inlineStr">
        <is>
          <t>Double-sealed radial ball bearings (15 mm ID)</t>
        </is>
      </c>
      <c r="F18" s="6" t="n">
        <v>2</v>
      </c>
      <c r="G18" s="6" t="inlineStr">
        <is>
          <t>Bearing Wear</t>
        </is>
      </c>
    </row>
    <row r="19" ht="21" customHeight="1">
      <c r="A19" s="10" t="inlineStr">
        <is>
          <t>2.04</t>
        </is>
      </c>
      <c r="B19" s="11" t="inlineStr">
        <is>
          <t>Front &amp; Rear Rollers</t>
        </is>
      </c>
      <c r="C19" s="12" t="inlineStr">
        <is>
          <t>Rear Full-Width Smooth Steel Roller (22")</t>
        </is>
      </c>
      <c r="D19" s="13" t="inlineStr">
        <is>
          <t>117036 / 365412</t>
        </is>
      </c>
      <c r="E19" s="11" t="inlineStr">
        <is>
          <t>Heavy ground-drive smooth steel roller with rubber/steel scraper</t>
        </is>
      </c>
      <c r="F19" s="10" t="n">
        <v>1</v>
      </c>
      <c r="G19" s="10" t="inlineStr">
        <is>
          <t>Rear Roller Assembly</t>
        </is>
      </c>
    </row>
    <row r="20" ht="21" customHeight="1">
      <c r="A20" s="6" t="inlineStr">
        <is>
          <t>2.05</t>
        </is>
      </c>
      <c r="B20" s="7" t="inlineStr">
        <is>
          <t>Front &amp; Rear Rollers</t>
        </is>
      </c>
      <c r="C20" s="8" t="inlineStr">
        <is>
          <t>Roller Scraper Wire / Scraper Bar</t>
        </is>
      </c>
      <c r="D20" s="9" t="inlineStr">
        <is>
          <t>364170 / 364171</t>
        </is>
      </c>
      <c r="E20" s="7" t="inlineStr">
        <is>
          <t>Spring-loaded scrapers to clear grass clippings &amp; wet thatch</t>
        </is>
      </c>
      <c r="F20" s="6" t="n">
        <v>1</v>
      </c>
      <c r="G20" s="6" t="inlineStr">
        <is>
          <t>Scraper Hardware</t>
        </is>
      </c>
    </row>
    <row r="21" ht="24" customHeight="1">
      <c r="A21" s="4" t="inlineStr">
        <is>
          <t>Traction Drive &amp; Reel Clutch (Walk-Behind / Triplex)</t>
        </is>
      </c>
      <c r="B21" s="5" t="n"/>
      <c r="C21" s="5" t="n"/>
      <c r="D21" s="5" t="n"/>
      <c r="E21" s="5" t="n"/>
      <c r="F21" s="5" t="n"/>
      <c r="G21" s="5" t="n"/>
    </row>
    <row r="22" ht="21" customHeight="1">
      <c r="A22" s="6" t="inlineStr">
        <is>
          <t>3.01</t>
        </is>
      </c>
      <c r="B22" s="7" t="inlineStr">
        <is>
          <t>Traction Drive &amp; Reel Clutch</t>
        </is>
      </c>
      <c r="C22" s="8" t="inlineStr">
        <is>
          <t>Traction Roller Drive Clutch Assembly</t>
        </is>
      </c>
      <c r="D22" s="9" t="inlineStr">
        <is>
          <t>163532 / 500319</t>
        </is>
      </c>
      <c r="E22" s="7" t="inlineStr">
        <is>
          <t>Multi-disc / cone mechanical clutch assembly with engagement dogs</t>
        </is>
      </c>
      <c r="F22" s="6" t="n">
        <v>1</v>
      </c>
      <c r="G22" s="6" t="inlineStr">
        <is>
          <t>Drive Transmission</t>
        </is>
      </c>
    </row>
    <row r="23" ht="21" customHeight="1">
      <c r="A23" s="10" t="inlineStr">
        <is>
          <t>3.02</t>
        </is>
      </c>
      <c r="B23" s="11" t="inlineStr">
        <is>
          <t>Traction Drive &amp; Reel Clutch</t>
        </is>
      </c>
      <c r="C23" s="12" t="inlineStr">
        <is>
          <t>Traction Roller Drive Chain &amp; Master Link</t>
        </is>
      </c>
      <c r="D23" s="13" t="inlineStr">
        <is>
          <t>471214 / 471223</t>
        </is>
      </c>
      <c r="E23" s="11" t="inlineStr">
        <is>
          <t>Standard #35 / #40 industrial roller chain loop</t>
        </is>
      </c>
      <c r="F23" s="10" t="n">
        <v>1</v>
      </c>
      <c r="G23" s="10" t="inlineStr">
        <is>
          <t>Drive Transmission</t>
        </is>
      </c>
    </row>
    <row r="24" ht="21" customHeight="1">
      <c r="A24" s="6" t="inlineStr">
        <is>
          <t>3.03</t>
        </is>
      </c>
      <c r="B24" s="7" t="inlineStr">
        <is>
          <t>Traction Drive &amp; Reel Clutch</t>
        </is>
      </c>
      <c r="C24" s="8" t="inlineStr">
        <is>
          <t>Reel Drive Cogged Belt / Chain</t>
        </is>
      </c>
      <c r="D24" s="9" t="inlineStr">
        <is>
          <t>500534 / 337677</t>
        </is>
      </c>
      <c r="E24" s="7" t="inlineStr">
        <is>
          <t>High-torque synchronous timing belt for electric/mechanical reel drive</t>
        </is>
      </c>
      <c r="F24" s="6" t="n">
        <v>1</v>
      </c>
      <c r="G24" s="6" t="inlineStr">
        <is>
          <t>Drive Belt / Chain</t>
        </is>
      </c>
    </row>
    <row r="25" ht="21" customHeight="1">
      <c r="A25" s="10" t="inlineStr">
        <is>
          <t>3.04</t>
        </is>
      </c>
      <c r="B25" s="11" t="inlineStr">
        <is>
          <t>Traction Drive &amp; Reel Clutch</t>
        </is>
      </c>
      <c r="C25" s="12" t="inlineStr">
        <is>
          <t>Transport Wheels (Pneumatic Pair)</t>
        </is>
      </c>
      <c r="D25" s="13" t="inlineStr">
        <is>
          <t>365306 / 365313</t>
        </is>
      </c>
      <c r="E25" s="11" t="inlineStr">
        <is>
          <t>Quick-mount transport solid/pneumatic puncture-proof wheels</t>
        </is>
      </c>
      <c r="F25" s="10" t="n">
        <v>2</v>
      </c>
      <c r="G25" s="10" t="inlineStr">
        <is>
          <t>Transport Accessory</t>
        </is>
      </c>
    </row>
    <row r="26" ht="21" customHeight="1">
      <c r="A26" s="6" t="inlineStr">
        <is>
          <t>3.05</t>
        </is>
      </c>
      <c r="B26" s="7" t="inlineStr">
        <is>
          <t>Traction Drive &amp; Reel Clutch</t>
        </is>
      </c>
      <c r="C26" s="8" t="inlineStr">
        <is>
          <t>Wheel Hub Ratchet Pawl &amp; Springs</t>
        </is>
      </c>
      <c r="D26" s="9" t="inlineStr">
        <is>
          <t>308030 / 308033</t>
        </is>
      </c>
      <c r="E26" s="7" t="inlineStr">
        <is>
          <t>Differential overrun ratchet mechanism for tight turning without scuffing</t>
        </is>
      </c>
      <c r="F26" s="6" t="n">
        <v>2</v>
      </c>
      <c r="G26" s="6" t="inlineStr">
        <is>
          <t>Drive Ratchet Hardware</t>
        </is>
      </c>
    </row>
    <row r="27" ht="24" customHeight="1">
      <c r="A27" s="4" t="inlineStr">
        <is>
          <t>Hydraulic &amp; Filtration System (GK IV / Triplex Units)</t>
        </is>
      </c>
      <c r="B27" s="5" t="n"/>
      <c r="C27" s="5" t="n"/>
      <c r="D27" s="5" t="n"/>
      <c r="E27" s="5" t="n"/>
      <c r="F27" s="5" t="n"/>
      <c r="G27" s="5" t="n"/>
    </row>
    <row r="28" ht="21" customHeight="1">
      <c r="A28" s="6" t="inlineStr">
        <is>
          <t>4.01</t>
        </is>
      </c>
      <c r="B28" s="7" t="inlineStr">
        <is>
          <t>Hydraulic &amp; Filtration System</t>
        </is>
      </c>
      <c r="C28" s="8" t="inlineStr">
        <is>
          <t>Hydraulic Oil Filter Element (10 Micron)</t>
        </is>
      </c>
      <c r="D28" s="9" t="inlineStr">
        <is>
          <t>558022 / 4199061</t>
        </is>
      </c>
      <c r="E28" s="7" t="inlineStr">
        <is>
          <t>Spin-on 10-micron high-pressure hydraulic return line filter</t>
        </is>
      </c>
      <c r="F28" s="6" t="n">
        <v>1</v>
      </c>
      <c r="G28" s="6" t="inlineStr">
        <is>
          <t>Hydraulic Consumable</t>
        </is>
      </c>
    </row>
    <row r="29" ht="21" customHeight="1">
      <c r="A29" s="10" t="inlineStr">
        <is>
          <t>4.02</t>
        </is>
      </c>
      <c r="B29" s="11" t="inlineStr">
        <is>
          <t>Hydraulic &amp; Filtration System</t>
        </is>
      </c>
      <c r="C29" s="12" t="inlineStr">
        <is>
          <t>Cutting Reel Hydraulic Motor</t>
        </is>
      </c>
      <c r="D29" s="13" t="inlineStr">
        <is>
          <t>4184181 / Eaton 2000</t>
        </is>
      </c>
      <c r="E29" s="11" t="inlineStr">
        <is>
          <t>Compact low-speed high-torque hydraulic motor for reel drive</t>
        </is>
      </c>
      <c r="F29" s="10" t="n">
        <v>1</v>
      </c>
      <c r="G29" s="10" t="inlineStr">
        <is>
          <t>Hydraulic Power</t>
        </is>
      </c>
    </row>
    <row r="30" ht="21" customHeight="1">
      <c r="A30" s="6" t="inlineStr">
        <is>
          <t>4.03</t>
        </is>
      </c>
      <c r="B30" s="7" t="inlineStr">
        <is>
          <t>Hydraulic &amp; Filtration System</t>
        </is>
      </c>
      <c r="C30" s="8" t="inlineStr">
        <is>
          <t>Reel Backlap Relief Valve Assembly</t>
        </is>
      </c>
      <c r="D30" s="9" t="inlineStr">
        <is>
          <t>LMAC378 / 4133990</t>
        </is>
      </c>
      <c r="E30" s="7" t="inlineStr">
        <is>
          <t>Bi-directional backlapping control valve manifold</t>
        </is>
      </c>
      <c r="F30" s="6" t="n">
        <v>1</v>
      </c>
      <c r="G30" s="6" t="inlineStr">
        <is>
          <t>Hydraulic Valve</t>
        </is>
      </c>
    </row>
    <row r="31" ht="21" customHeight="1">
      <c r="A31" s="10" t="inlineStr">
        <is>
          <t>4.04</t>
        </is>
      </c>
      <c r="B31" s="11" t="inlineStr">
        <is>
          <t>Hydraulic &amp; Filtration System</t>
        </is>
      </c>
      <c r="C31" s="12" t="inlineStr">
        <is>
          <t>Engine Oil Filter (Kubota / Briggs Gas &amp; Diesel)</t>
        </is>
      </c>
      <c r="D31" s="13" t="inlineStr">
        <is>
          <t>554011 / 5000440</t>
        </is>
      </c>
      <c r="E31" s="11" t="inlineStr">
        <is>
          <t>Full-flow engine lube oil spin-on filter cartridge</t>
        </is>
      </c>
      <c r="F31" s="10" t="n">
        <v>1</v>
      </c>
      <c r="G31" s="10" t="inlineStr">
        <is>
          <t>Routine Consumable</t>
        </is>
      </c>
    </row>
    <row r="32" ht="21" customHeight="1">
      <c r="A32" s="6" t="inlineStr">
        <is>
          <t>4.05</t>
        </is>
      </c>
      <c r="B32" s="7" t="inlineStr">
        <is>
          <t>Hydraulic &amp; Filtration System</t>
        </is>
      </c>
      <c r="C32" s="8" t="inlineStr">
        <is>
          <t>Air Cleaner Cartridge Dual Element</t>
        </is>
      </c>
      <c r="D32" s="9" t="inlineStr">
        <is>
          <t>5000913 / 5000441</t>
        </is>
      </c>
      <c r="E32" s="7" t="inlineStr">
        <is>
          <t>Primary pleated paper and pre-cleaner foam sleeve</t>
        </is>
      </c>
      <c r="F32" s="6" t="n">
        <v>1</v>
      </c>
      <c r="G32" s="6" t="inlineStr">
        <is>
          <t>Routine Consumable</t>
        </is>
      </c>
    </row>
    <row r="33" ht="21" customHeight="1">
      <c r="A33" s="10" t="inlineStr">
        <is>
          <t>4.06</t>
        </is>
      </c>
      <c r="B33" s="11" t="inlineStr">
        <is>
          <t>Hydraulic &amp; Filtration System</t>
        </is>
      </c>
      <c r="C33" s="12" t="inlineStr">
        <is>
          <t>Inline Fuel Filter Element</t>
        </is>
      </c>
      <c r="D33" s="13" t="inlineStr">
        <is>
          <t>5000436 / 006890160</t>
        </is>
      </c>
      <c r="E33" s="11" t="inlineStr">
        <is>
          <t>Fine micron sediment and fuel water separator element</t>
        </is>
      </c>
      <c r="F33" s="10" t="n">
        <v>1</v>
      </c>
      <c r="G33" s="10" t="inlineStr">
        <is>
          <t>Routine Consumable</t>
        </is>
      </c>
    </row>
    <row r="34" ht="25" customHeight="1">
      <c r="A34" s="14" t="inlineStr">
        <is>
          <t>TOTAL INDENT / BOM LINE ITEMS</t>
        </is>
      </c>
      <c r="B34" s="15" t="n"/>
      <c r="C34" s="15" t="n"/>
      <c r="D34" s="15" t="n"/>
      <c r="E34" s="15" t="n"/>
      <c r="F34" s="16">
        <f>SUM(F5:F33)</f>
        <v/>
      </c>
      <c r="G34" s="17" t="inlineStr"/>
    </row>
  </sheetData>
  <mergeCells count="7">
    <mergeCell ref="A34:E34"/>
    <mergeCell ref="A1:G1"/>
    <mergeCell ref="A27:G27"/>
    <mergeCell ref="A21:G21"/>
    <mergeCell ref="A2:G2"/>
    <mergeCell ref="A15:G15"/>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28" customWidth="1" min="1" max="1"/>
    <col width="25" customWidth="1" min="2" max="2"/>
    <col width="25" customWidth="1" min="3" max="3"/>
    <col width="25" customWidth="1" min="4" max="4"/>
    <col width="25" customWidth="1" min="5" max="5"/>
  </cols>
  <sheetData>
    <row r="1" ht="35" customHeight="1">
      <c r="A1" s="18" t="inlineStr">
        <is>
          <t>JACOBSEN GREENS MOWER - REEL GRINDING &amp; BEDKNIFE SETTING PROTOCOL</t>
        </is>
      </c>
    </row>
    <row r="3">
      <c r="A3" s="19" t="inlineStr">
        <is>
          <t>Precision Turf Machinery Workshop Guidelines</t>
        </is>
      </c>
    </row>
    <row r="4" ht="36" customHeight="1">
      <c r="A4" s="20" t="inlineStr">
        <is>
          <t>1. Bedknife Selection vs Height-of-Cut (HOC)</t>
        </is>
      </c>
      <c r="B4" s="21" t="inlineStr">
        <is>
          <t>Super Tournament (5002887) is designed for micro-cuts between 2.1mm and 2.8mm (0.082" - 0.109"). Tournament Bedknife (503479) covers 2.4mm to 4.0mm (0.094" - 0.156"). For collar/apron tees, use High Profile (503477) for cuts up to 11.1mm (0.438"). Never run ultra-thin bedknives in rocky or high-scalping areas.</t>
        </is>
      </c>
    </row>
    <row r="5" ht="36" customHeight="1">
      <c r="A5" s="20" t="inlineStr">
        <is>
          <t>2. Screw Torquing &amp; Bed Bar Facing</t>
        </is>
      </c>
      <c r="B5" s="21" t="inlineStr">
        <is>
          <t>Always true/face the bed bar on a bedknife grinder before mounting a new bedknife. Tighten the thirteen 1/4"-20 screws (101272) starting from the center and alternating outward towards both ends. Torque to 10.5–12 Nm (90–105 in-lbs).</t>
        </is>
      </c>
    </row>
    <row r="6" ht="36" customHeight="1">
      <c r="A6" s="20" t="inlineStr">
        <is>
          <t>3. Reel-to-Bedknife True Contact (Paper Cut Test)</t>
        </is>
      </c>
      <c r="B6" s="21" t="inlineStr">
        <is>
          <t>Adjust fine micrometer adjusters until light contact is achieved. Reel must smoothly shear standard single-ply newspaper across the entire 22" width without pinching or dragging. Heavy contact ruins the knife temper and creates excessive hydraulic drag.</t>
        </is>
      </c>
    </row>
    <row r="7" ht="36" customHeight="1">
      <c r="A7" s="20" t="inlineStr">
        <is>
          <t>4. Backlapping &amp; Spin Grinding Interval</t>
        </is>
      </c>
      <c r="B7" s="21" t="inlineStr">
        <is>
          <t>Perform reverse backlapping using 120-grit to 180-grit abrasive compound weekly or after every 20–25 cutting hours. When the reel cylinder blade land width exceeds 1.5 mm (0.060"), take the reel off for relief angle grinding (approx. 10° relief).</t>
        </is>
      </c>
    </row>
    <row r="8" ht="36" customHeight="1">
      <c r="A8" s="20" t="inlineStr">
        <is>
          <t>5. Front Wiehle vs Smooth Roller Setup</t>
        </is>
      </c>
      <c r="B8" s="21" t="inlineStr">
        <is>
          <t>The machined Wiehle grooved roller reduces turf contact area for a tighter cut and reduced nap, ideal for pristine green rolling. Switch to the smooth solid roller during rainy conditions, aeration, or top-dressing to prevent roller rib compaction.</t>
        </is>
      </c>
    </row>
  </sheetData>
  <mergeCells count="6">
    <mergeCell ref="B8:E8"/>
    <mergeCell ref="B4:E4"/>
    <mergeCell ref="B6:E6"/>
    <mergeCell ref="B7:E7"/>
    <mergeCell ref="A1:E1"/>
    <mergeCell ref="B5:E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2026-10-12T11:00:13Z</dcterms:created>
  <dcterms:modified xmlns:dcterms="http://purl.org/dc/terms/" xmlns:xsi="http://www.w3.org/2001/XMLSchema-instance" xsi:type="dcterms:W3CDTF">2026-10-12T11:00:13Z</dcterms:modified>
</cp:coreProperties>
</file>