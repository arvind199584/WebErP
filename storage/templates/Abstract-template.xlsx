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60" yWindow="2760" windowWidth="21600" windowHeight="11175" tabRatio="600" firstSheet="0" activeTab="0" autoFilterDateGrouping="1"/>
  </bookViews>
  <sheets>
    <sheet xmlns:r="http://schemas.openxmlformats.org/officeDocument/2006/relationships" name="3rd RA" sheetId="1" state="visible" r:id="rId1"/>
    <sheet xmlns:r="http://schemas.openxmlformats.org/officeDocument/2006/relationships" name="wages 8 25" sheetId="2" state="visible" r:id="rId2"/>
  </sheets>
  <definedNames>
    <definedName name="_xlnm.Print_Area" localSheetId="0">'3rd RA'!$A$1:$J$45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15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  <u val="single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indexed="8"/>
      <sz val="11"/>
    </font>
    <font>
      <name val="Calibri"/>
      <family val="2"/>
      <b val="1"/>
      <color indexed="8"/>
      <sz val="11"/>
    </font>
    <font>
      <name val="Times New Roman"/>
      <family val="1"/>
      <color theme="1"/>
      <sz val="11"/>
    </font>
    <font>
      <name val="Calibri"/>
      <family val="2"/>
      <sz val="11"/>
      <scheme val="minor"/>
    </font>
    <font>
      <name val="Calibri"/>
      <family val="2"/>
      <b val="1"/>
      <color indexed="8"/>
      <sz val="8"/>
    </font>
    <font>
      <name val="Arial"/>
      <family val="2"/>
      <color theme="1"/>
      <sz val="9"/>
    </font>
    <font>
      <name val="Arial"/>
      <family val="2"/>
      <sz val="11"/>
    </font>
    <font>
      <name val="Arial"/>
      <family val="2"/>
      <b val="1"/>
      <i val="1"/>
      <color theme="1"/>
      <sz val="10.5"/>
    </font>
  </fonts>
  <fills count="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1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164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4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right" vertical="top" wrapText="1"/>
    </xf>
    <xf numFmtId="0" fontId="2" fillId="0" borderId="5" applyAlignment="1" pivotButton="0" quotePrefix="0" xfId="0">
      <alignment horizontal="right" vertical="top" wrapText="1"/>
    </xf>
    <xf numFmtId="1" fontId="1" fillId="0" borderId="0" applyAlignment="1" pivotButton="0" quotePrefix="0" xfId="0">
      <alignment vertical="top" wrapText="1"/>
    </xf>
    <xf numFmtId="165" fontId="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1">
      <alignment horizontal="center"/>
    </xf>
    <xf numFmtId="165" fontId="0" fillId="0" borderId="1" applyAlignment="1" pivotButton="0" quotePrefix="0" xfId="0">
      <alignment horizontal="center"/>
    </xf>
    <xf numFmtId="165" fontId="0" fillId="0" borderId="0" pivotButton="0" quotePrefix="0" xfId="0"/>
    <xf numFmtId="0" fontId="11" fillId="2" borderId="1" applyAlignment="1" pivotButton="0" quotePrefix="0" xfId="0">
      <alignment horizontal="center" vertical="center"/>
    </xf>
    <xf numFmtId="165" fontId="0" fillId="3" borderId="1" pivotButton="0" quotePrefix="0" xfId="0"/>
    <xf numFmtId="165" fontId="10" fillId="3" borderId="1" pivotButton="0" quotePrefix="0" xfId="0"/>
    <xf numFmtId="165" fontId="5" fillId="3" borderId="1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17" fontId="1" fillId="0" borderId="0" applyAlignment="1" pivotButton="0" quotePrefix="0" xfId="0">
      <alignment vertical="top" wrapText="1"/>
    </xf>
    <xf numFmtId="0" fontId="13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top" wrapText="1"/>
    </xf>
    <xf numFmtId="164" fontId="14" fillId="0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" fillId="0" borderId="5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right" vertical="top" wrapText="1"/>
    </xf>
    <xf numFmtId="0" fontId="2" fillId="0" borderId="4" applyAlignment="1" pivotButton="0" quotePrefix="0" xfId="0">
      <alignment horizontal="right" vertical="top" wrapText="1"/>
    </xf>
    <xf numFmtId="0" fontId="2" fillId="0" borderId="5" applyAlignment="1" pivotButton="0" quotePrefix="0" xfId="0">
      <alignment horizontal="right" vertical="top" wrapText="1"/>
    </xf>
    <xf numFmtId="0" fontId="14" fillId="0" borderId="15" applyAlignment="1" pivotButton="0" quotePrefix="0" xfId="0">
      <alignment horizontal="right" vertical="top" wrapText="1"/>
    </xf>
    <xf numFmtId="0" fontId="14" fillId="0" borderId="9" applyAlignment="1" pivotButton="0" quotePrefix="0" xfId="0">
      <alignment horizontal="right" vertical="top" wrapText="1"/>
    </xf>
    <xf numFmtId="0" fontId="14" fillId="0" borderId="4" applyAlignment="1" pivotButton="0" quotePrefix="0" xfId="0">
      <alignment horizontal="right" vertical="top" wrapText="1"/>
    </xf>
    <xf numFmtId="0" fontId="14" fillId="0" borderId="5" applyAlignment="1" pivotButton="0" quotePrefix="0" xfId="0">
      <alignment horizontal="right" vertical="top" wrapText="1"/>
    </xf>
    <xf numFmtId="0" fontId="1" fillId="0" borderId="4" applyAlignment="1" pivotButton="0" quotePrefix="0" xfId="0">
      <alignment horizontal="right" vertical="top" wrapText="1"/>
    </xf>
    <xf numFmtId="0" fontId="1" fillId="0" borderId="5" applyAlignment="1" pivotButton="0" quotePrefix="0" xfId="0">
      <alignment horizontal="right" vertical="top" wrapText="1"/>
    </xf>
    <xf numFmtId="0" fontId="1" fillId="0" borderId="3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center" textRotation="90" wrapText="1"/>
    </xf>
    <xf numFmtId="0" fontId="2" fillId="0" borderId="11" applyAlignment="1" pivotButton="0" quotePrefix="0" xfId="0">
      <alignment horizontal="center" vertical="center" textRotation="90" wrapText="1"/>
    </xf>
    <xf numFmtId="0" fontId="2" fillId="0" borderId="12" applyAlignment="1" pivotButton="0" quotePrefix="0" xfId="0">
      <alignment horizontal="center" vertical="center" textRotation="90" wrapText="1"/>
    </xf>
    <xf numFmtId="0" fontId="2" fillId="0" borderId="13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 wrapText="1"/>
    </xf>
    <xf numFmtId="164" fontId="1" fillId="0" borderId="7" applyAlignment="1" pivotButton="0" quotePrefix="0" xfId="0">
      <alignment horizontal="left" vertical="center" wrapText="1"/>
    </xf>
    <xf numFmtId="164" fontId="1" fillId="0" borderId="8" applyAlignment="1" pivotButton="0" quotePrefix="0" xfId="0">
      <alignment horizontal="left" vertical="center" wrapText="1"/>
    </xf>
    <xf numFmtId="164" fontId="1" fillId="0" borderId="10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right" vertical="center" wrapText="1"/>
    </xf>
    <xf numFmtId="0" fontId="1" fillId="0" borderId="6" applyAlignment="1" pivotButton="0" quotePrefix="0" xfId="0">
      <alignment horizontal="right" vertical="center" wrapText="1"/>
    </xf>
    <xf numFmtId="0" fontId="1" fillId="0" borderId="14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15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center" vertical="top"/>
    </xf>
    <xf numFmtId="0" fontId="2" fillId="0" borderId="4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top"/>
    </xf>
    <xf numFmtId="17" fontId="7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5" pivotButton="0" quotePrefix="0" xfId="0"/>
    <xf numFmtId="0" fontId="1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textRotation="90" wrapText="1"/>
    </xf>
    <xf numFmtId="165" fontId="1" fillId="0" borderId="1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165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right" vertical="top" wrapText="1"/>
    </xf>
    <xf numFmtId="0" fontId="0" fillId="0" borderId="4" pivotButton="0" quotePrefix="0" xfId="0"/>
    <xf numFmtId="164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vertical="top" wrapText="1"/>
    </xf>
    <xf numFmtId="0" fontId="1" fillId="0" borderId="3" applyAlignment="1" pivotButton="0" quotePrefix="0" xfId="0">
      <alignment horizontal="right" vertical="center" wrapText="1"/>
    </xf>
    <xf numFmtId="0" fontId="0" fillId="0" borderId="6" pivotButton="0" quotePrefix="0" xfId="0"/>
    <xf numFmtId="164" fontId="1" fillId="0" borderId="5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9" pivotButton="0" quotePrefix="0" xfId="0"/>
    <xf numFmtId="0" fontId="0" fillId="0" borderId="10" pivotButton="0" quotePrefix="0" xfId="0"/>
    <xf numFmtId="0" fontId="14" fillId="0" borderId="12" applyAlignment="1" pivotButton="0" quotePrefix="0" xfId="0">
      <alignment horizontal="right" vertical="top" wrapText="1"/>
    </xf>
    <xf numFmtId="164" fontId="14" fillId="0" borderId="1" applyAlignment="1" pivotButton="0" quotePrefix="0" xfId="0">
      <alignment vertical="top" wrapText="1"/>
    </xf>
    <xf numFmtId="165" fontId="1" fillId="0" borderId="1" applyAlignment="1" pivotButton="0" quotePrefix="0" xfId="0">
      <alignment vertical="top" wrapText="1"/>
    </xf>
    <xf numFmtId="165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 wrapText="1"/>
    </xf>
    <xf numFmtId="165" fontId="0" fillId="0" borderId="1" applyAlignment="1" pivotButton="0" quotePrefix="0" xfId="1">
      <alignment horizontal="center"/>
    </xf>
    <xf numFmtId="165" fontId="0" fillId="3" borderId="1" pivotButton="0" quotePrefix="0" xfId="0"/>
    <xf numFmtId="165" fontId="10" fillId="3" borderId="1" pivotButton="0" quotePrefix="0" xfId="0"/>
    <xf numFmtId="165" fontId="5" fillId="3" borderId="1" pivotButton="0" quotePrefix="0" xfId="0"/>
    <xf numFmtId="165" fontId="0" fillId="0" borderId="1" applyAlignment="1" pivotButton="0" quotePrefix="0" xfId="0">
      <alignment horizontal="center"/>
    </xf>
    <xf numFmtId="165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tabSelected="1" view="pageBreakPreview" zoomScaleNormal="80" zoomScaleSheetLayoutView="100" workbookViewId="0">
      <selection activeCell="R23" sqref="R23"/>
    </sheetView>
  </sheetViews>
  <sheetFormatPr baseColWidth="8" defaultRowHeight="14.25"/>
  <cols>
    <col width="6.140625" customWidth="1" style="1" min="1" max="1"/>
    <col width="13.5703125" customWidth="1" style="1" min="2" max="2"/>
    <col width="10.5703125" customWidth="1" style="1" min="3" max="3"/>
    <col width="14.42578125" customWidth="1" style="1" min="4" max="4"/>
    <col width="8.85546875" customWidth="1" style="1" min="5" max="5"/>
    <col width="13.5703125" customWidth="1" style="1" min="6" max="6"/>
    <col width="15.28515625" customWidth="1" style="1" min="7" max="9"/>
    <col width="20.140625" customWidth="1" style="1" min="10" max="10"/>
    <col width="5" customWidth="1" style="1" min="11" max="11"/>
    <col width="9.140625" customWidth="1" style="1" min="12" max="16"/>
    <col width="17.28515625" customWidth="1" style="1" min="17" max="17"/>
    <col width="9" bestFit="1" customWidth="1" style="1" min="18" max="18"/>
    <col width="9.140625" customWidth="1" style="1" min="19" max="16384"/>
  </cols>
  <sheetData>
    <row r="1" ht="18" customHeight="1">
      <c r="A1" s="56" t="inlineStr">
        <is>
          <t>4th R/A Bill</t>
        </is>
      </c>
    </row>
    <row r="2"/>
    <row r="3">
      <c r="A3" s="55" t="inlineStr">
        <is>
          <t>Name of Work : ${name_of_work}
Sub Head: ${sub_head}
Agmt No. 01/DGCD/DDA/2025-26
Agency :  ${agency_name}
R/A Bill:   4th R/A Bill
Period :   01 Oct 2025 to 30 Nov 2025</t>
        </is>
      </c>
    </row>
    <row r="4"/>
    <row r="5" ht="60" customHeight="1"/>
    <row r="6">
      <c r="U6" s="8" t="n"/>
    </row>
    <row r="7" ht="44.25" customHeight="1">
      <c r="A7" s="57" t="inlineStr">
        <is>
          <t>S. No.</t>
        </is>
      </c>
      <c r="B7" s="57" t="inlineStr">
        <is>
          <t>Description of manpower</t>
        </is>
      </c>
      <c r="C7" s="84" t="n"/>
      <c r="D7" s="57" t="inlineStr">
        <is>
          <t>Period</t>
        </is>
      </c>
      <c r="E7" s="57" t="inlineStr">
        <is>
          <t>Qty</t>
        </is>
      </c>
      <c r="F7" s="57" t="inlineStr">
        <is>
          <t>Rate per person/ per month</t>
        </is>
      </c>
      <c r="G7" s="57" t="inlineStr">
        <is>
          <t xml:space="preserve">Rate </t>
        </is>
      </c>
      <c r="H7" s="57" t="inlineStr">
        <is>
          <t>Upto date</t>
        </is>
      </c>
      <c r="I7" s="57" t="inlineStr">
        <is>
          <t>Gross Previous</t>
        </is>
      </c>
      <c r="J7" s="57" t="inlineStr">
        <is>
          <t>Since previous (current bill)</t>
        </is>
      </c>
      <c r="M7" s="37" t="n">
        <v>45931</v>
      </c>
      <c r="N7" s="37" t="n">
        <v>45962</v>
      </c>
      <c r="O7" s="37" t="n"/>
      <c r="P7" s="37" t="n"/>
      <c r="R7" s="7" t="n"/>
      <c r="S7" s="7" t="n"/>
      <c r="U7" s="8" t="n"/>
      <c r="X7" s="8" t="n"/>
    </row>
    <row r="8" ht="28.5" customHeight="1">
      <c r="A8" s="61" t="n">
        <v>1</v>
      </c>
      <c r="B8" s="85" t="inlineStr">
        <is>
          <t>Providing Receptionist</t>
        </is>
      </c>
      <c r="C8" s="84" t="n"/>
      <c r="D8" s="86" t="inlineStr">
        <is>
          <t>01.10.2025 to 30.11.2025</t>
        </is>
      </c>
      <c r="E8" s="61" t="n">
        <v>4</v>
      </c>
      <c r="F8" s="61" t="inlineStr">
        <is>
          <t>Per person per month</t>
        </is>
      </c>
      <c r="G8" s="87" t="n">
        <v>41633</v>
      </c>
      <c r="H8" s="87">
        <f>G8*E8</f>
        <v/>
      </c>
      <c r="I8" s="87" t="n">
        <v>0</v>
      </c>
      <c r="J8" s="87">
        <f>H8-I8</f>
        <v/>
      </c>
      <c r="M8" s="1" t="n">
        <v>2</v>
      </c>
      <c r="N8" s="1" t="n">
        <v>2</v>
      </c>
      <c r="O8" s="1" t="inlineStr">
        <is>
          <t>-</t>
        </is>
      </c>
      <c r="Q8" s="1">
        <f>(20+25+25+23)/25</f>
        <v/>
      </c>
      <c r="R8" s="7" t="n"/>
      <c r="S8" s="7" t="n"/>
      <c r="U8" s="8" t="n"/>
      <c r="X8" s="8" t="n"/>
    </row>
    <row r="9" ht="28.5" customHeight="1">
      <c r="A9" s="61" t="n">
        <v>2</v>
      </c>
      <c r="B9" s="85" t="inlineStr">
        <is>
          <t xml:space="preserve">Providing Computer Operator </t>
        </is>
      </c>
      <c r="C9" s="84" t="n"/>
      <c r="D9" s="88" t="n"/>
      <c r="E9" s="61" t="n">
        <v>7.84</v>
      </c>
      <c r="F9" s="61" t="inlineStr">
        <is>
          <t>Per person per month</t>
        </is>
      </c>
      <c r="G9" s="87" t="n">
        <v>37457</v>
      </c>
      <c r="H9" s="87">
        <f>G9*E9</f>
        <v/>
      </c>
      <c r="I9" s="87" t="n">
        <v>0</v>
      </c>
      <c r="J9" s="87">
        <f>H9-I9</f>
        <v/>
      </c>
      <c r="M9" s="1" t="n">
        <v>4</v>
      </c>
      <c r="N9" s="1" t="n">
        <v>3.84</v>
      </c>
      <c r="O9" s="1" t="inlineStr">
        <is>
          <t>93+3</t>
        </is>
      </c>
      <c r="Q9" s="13" t="n"/>
      <c r="R9" s="7" t="n"/>
      <c r="S9" s="7" t="n"/>
      <c r="U9" s="8" t="n"/>
      <c r="X9" s="8" t="n"/>
    </row>
    <row r="10" ht="28.5" customHeight="1">
      <c r="A10" s="61" t="n">
        <v>3</v>
      </c>
      <c r="B10" s="85" t="inlineStr">
        <is>
          <t xml:space="preserve">Providing Clerk </t>
        </is>
      </c>
      <c r="C10" s="84" t="n"/>
      <c r="D10" s="88" t="n"/>
      <c r="E10" s="61" t="n">
        <v>7.88</v>
      </c>
      <c r="F10" s="61" t="inlineStr">
        <is>
          <t>Per person per month</t>
        </is>
      </c>
      <c r="G10" s="87" t="n">
        <v>31228</v>
      </c>
      <c r="H10" s="87">
        <f>G10*E10</f>
        <v/>
      </c>
      <c r="I10" s="87" t="n">
        <v>0</v>
      </c>
      <c r="J10" s="87">
        <f>H10-I10</f>
        <v/>
      </c>
      <c r="M10" s="1" t="n">
        <v>4</v>
      </c>
      <c r="N10" s="1" t="n">
        <v>3.88</v>
      </c>
      <c r="O10" s="1" t="inlineStr">
        <is>
          <t>96+1</t>
        </is>
      </c>
      <c r="R10" s="7" t="n"/>
      <c r="S10" s="7" t="n"/>
      <c r="U10" s="8" t="n"/>
      <c r="X10" s="8" t="n"/>
    </row>
    <row r="11" ht="28.5" customHeight="1">
      <c r="A11" s="61" t="n">
        <v>4</v>
      </c>
      <c r="B11" s="85" t="inlineStr">
        <is>
          <t>Providing Office attendent</t>
        </is>
      </c>
      <c r="C11" s="84" t="n"/>
      <c r="D11" s="88" t="n"/>
      <c r="E11" s="61" t="n">
        <v>4</v>
      </c>
      <c r="F11" s="61" t="inlineStr">
        <is>
          <t>Per person per month</t>
        </is>
      </c>
      <c r="G11" s="87" t="n">
        <v>25506</v>
      </c>
      <c r="H11" s="87">
        <f>G11*E11</f>
        <v/>
      </c>
      <c r="I11" s="87" t="n">
        <v>0</v>
      </c>
      <c r="J11" s="87">
        <f>H11-I11</f>
        <v/>
      </c>
      <c r="M11" s="1" t="n">
        <v>2</v>
      </c>
      <c r="N11" s="1" t="n">
        <v>2</v>
      </c>
      <c r="Q11" s="13" t="n"/>
      <c r="R11" s="7" t="n"/>
      <c r="S11" s="7" t="n"/>
      <c r="U11" s="8" t="n"/>
      <c r="X11" s="8" t="n"/>
    </row>
    <row r="12" ht="28.5" customHeight="1">
      <c r="A12" s="61" t="n">
        <v>5</v>
      </c>
      <c r="B12" s="85" t="inlineStr">
        <is>
          <t xml:space="preserve">Provding Dak Rider </t>
        </is>
      </c>
      <c r="C12" s="84" t="n"/>
      <c r="D12" s="88" t="n"/>
      <c r="E12" s="61" t="n">
        <v>2</v>
      </c>
      <c r="F12" s="61" t="inlineStr">
        <is>
          <t>Per person per month</t>
        </is>
      </c>
      <c r="G12" s="87" t="n">
        <v>25506</v>
      </c>
      <c r="H12" s="87">
        <f>G12*E12</f>
        <v/>
      </c>
      <c r="I12" s="87" t="n">
        <v>0</v>
      </c>
      <c r="J12" s="87">
        <f>H12-I12</f>
        <v/>
      </c>
      <c r="M12" s="1" t="n">
        <v>1</v>
      </c>
      <c r="N12" s="1" t="n">
        <v>1</v>
      </c>
      <c r="O12" s="1" t="inlineStr">
        <is>
          <t>22+3</t>
        </is>
      </c>
      <c r="R12" s="7" t="n"/>
      <c r="S12" s="7" t="n"/>
      <c r="U12" s="8" t="n"/>
      <c r="X12" s="8" t="n"/>
    </row>
    <row r="13" ht="28.5" customHeight="1">
      <c r="A13" s="61" t="n">
        <v>6</v>
      </c>
      <c r="B13" s="85" t="inlineStr">
        <is>
          <t xml:space="preserve">Conveyance for Dak Rider </t>
        </is>
      </c>
      <c r="C13" s="84" t="n"/>
      <c r="D13" s="89" t="n"/>
      <c r="E13" s="61" t="n">
        <v>2</v>
      </c>
      <c r="F13" s="61" t="inlineStr">
        <is>
          <t>Per month</t>
        </is>
      </c>
      <c r="G13" s="87" t="n">
        <v>4500</v>
      </c>
      <c r="H13" s="87">
        <f>G13*E13</f>
        <v/>
      </c>
      <c r="I13" s="87" t="n">
        <v>0</v>
      </c>
      <c r="J13" s="87">
        <f>H13-I13</f>
        <v/>
      </c>
      <c r="M13" s="1" t="n">
        <v>1</v>
      </c>
      <c r="N13" s="1" t="n">
        <v>1</v>
      </c>
      <c r="Q13" s="90">
        <f>G9/25*20+37457</f>
        <v/>
      </c>
      <c r="R13" s="7" t="n"/>
      <c r="S13" s="7" t="n"/>
      <c r="U13" s="8" t="n"/>
      <c r="X13" s="8" t="n"/>
    </row>
    <row r="14" ht="27.75" customHeight="1">
      <c r="A14" s="91" t="inlineStr">
        <is>
          <t>Total</t>
        </is>
      </c>
      <c r="B14" s="92" t="n"/>
      <c r="C14" s="92" t="n"/>
      <c r="D14" s="92" t="n"/>
      <c r="E14" s="92" t="n"/>
      <c r="F14" s="84" t="n"/>
      <c r="G14" s="53" t="n"/>
      <c r="H14" s="93">
        <f>ROUND(SUM(H8:H13), 0)</f>
        <v/>
      </c>
      <c r="I14" s="93" t="n">
        <v>0</v>
      </c>
      <c r="J14" s="93">
        <f>ROUND(SUM(J8:J13), 0)</f>
        <v/>
      </c>
    </row>
    <row r="15" ht="27.75" customHeight="1">
      <c r="A15" s="91" t="inlineStr">
        <is>
          <t xml:space="preserve">Absentee as per clause No. 51(g) will be deducted </t>
        </is>
      </c>
      <c r="B15" s="92" t="n"/>
      <c r="C15" s="92" t="n"/>
      <c r="D15" s="92" t="n"/>
      <c r="E15" s="92" t="n"/>
      <c r="F15" s="84" t="n"/>
      <c r="G15" s="53" t="inlineStr">
        <is>
          <t>(-)</t>
        </is>
      </c>
      <c r="H15" s="93">
        <f>J15+I15</f>
        <v/>
      </c>
      <c r="I15" s="3" t="n"/>
      <c r="J15" s="93">
        <f>F43</f>
        <v/>
      </c>
    </row>
    <row r="16" ht="27.75" customHeight="1">
      <c r="A16" s="94" t="inlineStr">
        <is>
          <t xml:space="preserve">Total (A) </t>
        </is>
      </c>
      <c r="B16" s="92" t="n"/>
      <c r="C16" s="92" t="n"/>
      <c r="D16" s="92" t="n"/>
      <c r="E16" s="92" t="n"/>
      <c r="F16" s="84" t="n"/>
      <c r="G16" s="47" t="n"/>
      <c r="H16" s="95">
        <f>H14-H15</f>
        <v/>
      </c>
      <c r="I16" s="95" t="n"/>
      <c r="J16" s="95">
        <f>J14-J15</f>
        <v/>
      </c>
    </row>
    <row r="17" ht="27.75" customHeight="1">
      <c r="A17" s="91" t="inlineStr">
        <is>
          <t xml:space="preserve">Add Contractor Profit 8.38% (B) </t>
        </is>
      </c>
      <c r="B17" s="92" t="n"/>
      <c r="C17" s="92" t="n"/>
      <c r="D17" s="92" t="n"/>
      <c r="E17" s="92" t="n"/>
      <c r="F17" s="84" t="n"/>
      <c r="G17" s="53" t="n"/>
      <c r="H17" s="93">
        <f>H16*8.38%</f>
        <v/>
      </c>
      <c r="I17" s="3" t="n"/>
      <c r="J17" s="93">
        <f>J16*8.38%</f>
        <v/>
      </c>
    </row>
    <row r="18" ht="27.75" customHeight="1">
      <c r="A18" s="91" t="inlineStr">
        <is>
          <t>Total (A+B)</t>
        </is>
      </c>
      <c r="B18" s="92" t="n"/>
      <c r="C18" s="92" t="n"/>
      <c r="D18" s="92" t="n"/>
      <c r="E18" s="92" t="n"/>
      <c r="F18" s="84" t="n"/>
      <c r="G18" s="53" t="n"/>
      <c r="H18" s="93">
        <f>H16+H17</f>
        <v/>
      </c>
      <c r="I18" s="3" t="n"/>
      <c r="J18" s="93">
        <f>J16+J17</f>
        <v/>
      </c>
    </row>
    <row r="19" ht="27.75" customHeight="1">
      <c r="A19" s="94" t="inlineStr">
        <is>
          <t>Gross amount of this bill</t>
        </is>
      </c>
      <c r="B19" s="92" t="n"/>
      <c r="C19" s="92" t="n"/>
      <c r="D19" s="92" t="n"/>
      <c r="E19" s="92" t="n"/>
      <c r="F19" s="84" t="n"/>
      <c r="G19" s="53" t="n"/>
      <c r="H19" s="95">
        <f>ROUND(H18, 0)</f>
        <v/>
      </c>
      <c r="I19" s="3" t="n"/>
      <c r="J19" s="95">
        <f>ROUND(J18, 0)</f>
        <v/>
      </c>
    </row>
    <row r="20" ht="27.75" customHeight="1">
      <c r="A20" s="96" t="inlineStr">
        <is>
          <t xml:space="preserve">Recoveries on </t>
        </is>
      </c>
      <c r="B20" s="97" t="n"/>
      <c r="C20" s="97" t="n"/>
      <c r="D20" s="98">
        <f>J19</f>
        <v/>
      </c>
      <c r="E20" s="53" t="inlineStr">
        <is>
          <t xml:space="preserve">Income Tax @ 2% </t>
        </is>
      </c>
      <c r="F20" s="84" t="n"/>
      <c r="G20" s="53" t="n"/>
      <c r="H20" s="3" t="n"/>
      <c r="I20" s="3" t="n"/>
      <c r="J20" s="93">
        <f>ROUND(J19*2%,0)</f>
        <v/>
      </c>
      <c r="M20" s="1" t="inlineStr">
        <is>
          <t xml:space="preserve"> </t>
        </is>
      </c>
    </row>
    <row r="21" ht="27.75" customHeight="1">
      <c r="A21" s="99" t="n"/>
      <c r="D21" s="100" t="n"/>
      <c r="E21" s="53" t="inlineStr">
        <is>
          <t xml:space="preserve">CGST @ 1% </t>
        </is>
      </c>
      <c r="F21" s="84" t="n"/>
      <c r="G21" s="53" t="n"/>
      <c r="H21" s="3" t="n"/>
      <c r="I21" s="3" t="n"/>
      <c r="J21" s="93">
        <f>ROUND(J19*1%,0)</f>
        <v/>
      </c>
    </row>
    <row r="22" ht="27.75" customHeight="1">
      <c r="A22" s="99" t="n"/>
      <c r="D22" s="100" t="n"/>
      <c r="E22" s="53" t="inlineStr">
        <is>
          <t>SGST @ 1%</t>
        </is>
      </c>
      <c r="F22" s="84" t="n"/>
      <c r="G22" s="53" t="n"/>
      <c r="H22" s="3" t="n"/>
      <c r="I22" s="3" t="n"/>
      <c r="J22" s="93">
        <f>ROUND(J19*1%,0)</f>
        <v/>
      </c>
    </row>
    <row r="23" ht="27.75" customHeight="1">
      <c r="A23" s="99" t="n"/>
      <c r="D23" s="100" t="n"/>
      <c r="E23" s="53" t="inlineStr">
        <is>
          <t xml:space="preserve">Security Deposit @ 5% </t>
        </is>
      </c>
      <c r="F23" s="84" t="n"/>
      <c r="G23" s="53" t="n"/>
      <c r="H23" s="3" t="n"/>
      <c r="I23" s="3" t="n"/>
      <c r="J23" s="93">
        <f>ROUND(J19*5%,0)</f>
        <v/>
      </c>
    </row>
    <row r="24" ht="27.75" customHeight="1">
      <c r="A24" s="101" t="n"/>
      <c r="B24" s="102" t="n"/>
      <c r="C24" s="102" t="n"/>
      <c r="D24" s="103" t="n"/>
      <c r="E24" s="53" t="inlineStr">
        <is>
          <t>Withheld non-payment of wages</t>
        </is>
      </c>
      <c r="F24" s="84" t="n"/>
      <c r="G24" s="53" t="n"/>
      <c r="H24" s="3" t="n"/>
      <c r="I24" s="3" t="n"/>
      <c r="J24" s="93">
        <f>ROUND(1.8*37457, 0)</f>
        <v/>
      </c>
      <c r="O24" s="1" t="n">
        <v>37457</v>
      </c>
      <c r="P24" s="1">
        <f>20/25+1</f>
        <v/>
      </c>
      <c r="Q24" s="1">
        <f>O24*P24</f>
        <v/>
      </c>
    </row>
    <row r="25" ht="27.75" customFormat="1" customHeight="1" s="42">
      <c r="A25" s="104" t="inlineStr">
        <is>
          <t>Total recoveries</t>
        </is>
      </c>
      <c r="B25" s="102" t="n"/>
      <c r="C25" s="102" t="n"/>
      <c r="D25" s="102" t="n"/>
      <c r="E25" s="102" t="n"/>
      <c r="F25" s="103" t="n"/>
      <c r="G25" s="53" t="n"/>
      <c r="H25" s="40" t="n"/>
      <c r="I25" s="40" t="n"/>
      <c r="J25" s="105">
        <f>SUM(J20:J24)</f>
        <v/>
      </c>
    </row>
    <row r="26" ht="27.75" customHeight="1">
      <c r="A26" s="94" t="inlineStr">
        <is>
          <t>Net amount payable in this bill</t>
        </is>
      </c>
      <c r="B26" s="92" t="n"/>
      <c r="C26" s="92" t="n"/>
      <c r="D26" s="92" t="n"/>
      <c r="E26" s="92" t="n"/>
      <c r="F26" s="84" t="n"/>
      <c r="G26" s="47" t="n"/>
      <c r="H26" s="3" t="n"/>
      <c r="I26" s="3" t="n"/>
      <c r="J26" s="95">
        <f>ROUND(J19-J25,0)</f>
        <v/>
      </c>
    </row>
    <row r="27" ht="15" customHeight="1"/>
    <row r="28" ht="15" customHeight="1"/>
    <row r="29" ht="15" customHeight="1"/>
    <row r="30" ht="15" customHeight="1"/>
    <row r="31"/>
    <row r="32" ht="14.25" customHeight="1">
      <c r="B32" s="6" t="n"/>
      <c r="C32" s="2" t="n"/>
      <c r="D32" s="2" t="n"/>
      <c r="E32" s="2" t="n"/>
      <c r="F32" s="2" t="n"/>
      <c r="G32" s="2" t="n"/>
      <c r="H32" s="2" t="n"/>
      <c r="I32" s="44" t="inlineStr">
        <is>
          <t>RE (Civil), DGCD, DDA</t>
        </is>
      </c>
    </row>
    <row r="33" ht="7.5" customHeight="1"/>
    <row r="34"/>
    <row r="35" ht="15" customHeight="1">
      <c r="B35" s="60" t="inlineStr">
        <is>
          <t>Deduction of absantee month of Oct-2025</t>
        </is>
      </c>
      <c r="C35" s="92" t="n"/>
      <c r="D35" s="92" t="n"/>
      <c r="E35" s="92" t="n"/>
      <c r="F35" s="84" t="n"/>
      <c r="G35" s="2" t="n"/>
      <c r="H35" s="2" t="n"/>
      <c r="I35" s="2" t="n"/>
      <c r="J35" s="2" t="n"/>
    </row>
    <row r="36" ht="15" customHeight="1">
      <c r="B36" s="60" t="inlineStr">
        <is>
          <t>Description</t>
        </is>
      </c>
      <c r="C36" s="60" t="inlineStr">
        <is>
          <t>Absantee</t>
        </is>
      </c>
      <c r="D36" s="60" t="inlineStr">
        <is>
          <t xml:space="preserve">Rate </t>
        </is>
      </c>
      <c r="E36" s="60" t="n"/>
      <c r="F36" s="60" t="inlineStr">
        <is>
          <t>Amount</t>
        </is>
      </c>
      <c r="G36" s="2" t="n"/>
      <c r="H36" s="2" t="n"/>
      <c r="I36" s="2" t="n"/>
      <c r="J36" s="2" t="n"/>
    </row>
    <row r="37" ht="15" customHeight="1">
      <c r="B37" s="3" t="inlineStr">
        <is>
          <t xml:space="preserve">Receptionist </t>
        </is>
      </c>
      <c r="C37" s="38" t="n">
        <v>1</v>
      </c>
      <c r="D37" s="87">
        <f>G8/27</f>
        <v/>
      </c>
      <c r="E37" s="3" t="n"/>
      <c r="F37" s="106">
        <f>D37*C37</f>
        <v/>
      </c>
      <c r="N37" s="1" t="inlineStr">
        <is>
          <t>cl</t>
        </is>
      </c>
    </row>
    <row r="38" ht="28.5" customHeight="1">
      <c r="B38" s="39" t="inlineStr">
        <is>
          <t>Computer Operator</t>
        </is>
      </c>
      <c r="C38" s="38" t="n">
        <v>0</v>
      </c>
      <c r="D38" s="87">
        <f>G9/27</f>
        <v/>
      </c>
      <c r="E38" s="3" t="n"/>
      <c r="F38" s="106">
        <f>D38*C38</f>
        <v/>
      </c>
      <c r="M38" s="1" t="inlineStr">
        <is>
          <t xml:space="preserve">Oct </t>
        </is>
      </c>
      <c r="N38" s="1" t="n">
        <v>12</v>
      </c>
    </row>
    <row r="39" ht="15" customHeight="1">
      <c r="B39" s="3" t="inlineStr">
        <is>
          <t>Clerk</t>
        </is>
      </c>
      <c r="C39" s="38" t="n">
        <v>12</v>
      </c>
      <c r="D39" s="87">
        <f>G10/27</f>
        <v/>
      </c>
      <c r="E39" s="3" t="n"/>
      <c r="F39" s="106">
        <f>D39*C39</f>
        <v/>
      </c>
    </row>
    <row r="40" ht="15" customHeight="1">
      <c r="B40" s="3" t="inlineStr">
        <is>
          <t>Dak Rider</t>
        </is>
      </c>
      <c r="C40" s="38" t="n">
        <v>2</v>
      </c>
      <c r="D40" s="87">
        <f>G12/27</f>
        <v/>
      </c>
      <c r="E40" s="3" t="n"/>
      <c r="F40" s="106">
        <f>D40*C40</f>
        <v/>
      </c>
    </row>
    <row r="41" ht="29.25" customHeight="1">
      <c r="B41" s="3" t="inlineStr">
        <is>
          <t xml:space="preserve">Office attendant </t>
        </is>
      </c>
      <c r="C41" s="38" t="n">
        <v>2</v>
      </c>
      <c r="D41" s="87">
        <f>G11/27</f>
        <v/>
      </c>
      <c r="E41" s="3" t="n"/>
      <c r="F41" s="106">
        <f>D41*C41</f>
        <v/>
      </c>
    </row>
    <row r="42">
      <c r="B42" s="61" t="inlineStr">
        <is>
          <t>Total</t>
        </is>
      </c>
      <c r="C42" s="92" t="n"/>
      <c r="D42" s="84" t="n"/>
      <c r="E42" s="3" t="n"/>
      <c r="F42" s="106">
        <f>SUM(F37:F41)</f>
        <v/>
      </c>
    </row>
    <row r="43" ht="15" customHeight="1">
      <c r="B43" s="61" t="inlineStr">
        <is>
          <t>Deduction as per clause 51</t>
        </is>
      </c>
      <c r="C43" s="92" t="n"/>
      <c r="D43" s="84" t="n"/>
      <c r="E43" s="17" t="n"/>
      <c r="F43" s="106">
        <f>ROUND(F42*2, 0)</f>
        <v/>
      </c>
    </row>
    <row r="44"/>
    <row r="45"/>
    <row r="46"/>
    <row r="47"/>
    <row r="48"/>
    <row r="49"/>
    <row r="50"/>
    <row r="51"/>
    <row r="52"/>
    <row r="53"/>
    <row r="54" ht="15" customHeight="1">
      <c r="B54" s="60" t="inlineStr">
        <is>
          <t>Deduction of absantee month of Oct-2025</t>
        </is>
      </c>
      <c r="C54" s="92" t="n"/>
      <c r="D54" s="92" t="n"/>
      <c r="E54" s="92" t="n"/>
      <c r="F54" s="84" t="n"/>
      <c r="G54" s="2" t="n"/>
      <c r="H54" s="2" t="n"/>
      <c r="I54" s="2" t="n"/>
      <c r="J54" s="2" t="n"/>
    </row>
    <row r="55" ht="15" customHeight="1">
      <c r="B55" s="60" t="inlineStr">
        <is>
          <t>Description</t>
        </is>
      </c>
      <c r="C55" s="60" t="inlineStr">
        <is>
          <t>Absantee</t>
        </is>
      </c>
      <c r="D55" s="60" t="inlineStr">
        <is>
          <t xml:space="preserve">Rate </t>
        </is>
      </c>
      <c r="E55" s="60" t="n"/>
      <c r="F55" s="60" t="inlineStr">
        <is>
          <t>Amount</t>
        </is>
      </c>
      <c r="G55" s="2" t="n"/>
      <c r="H55" s="2" t="n"/>
      <c r="I55" s="2" t="n"/>
      <c r="J55" s="2" t="n"/>
    </row>
    <row r="56" ht="15" customHeight="1">
      <c r="B56" s="3" t="inlineStr">
        <is>
          <t xml:space="preserve">Receptionist </t>
        </is>
      </c>
      <c r="C56" s="61" t="n">
        <v>1</v>
      </c>
      <c r="D56" s="87">
        <f>G8/27</f>
        <v/>
      </c>
      <c r="E56" s="3" t="n"/>
      <c r="F56" s="106">
        <f>D56*C56</f>
        <v/>
      </c>
      <c r="N56" s="1" t="inlineStr">
        <is>
          <t>cl</t>
        </is>
      </c>
    </row>
    <row r="57" ht="15" customHeight="1">
      <c r="B57" s="3" t="inlineStr">
        <is>
          <t>Computer operator</t>
        </is>
      </c>
      <c r="C57" s="61" t="n">
        <v>0</v>
      </c>
      <c r="D57" s="87">
        <f>G9/27</f>
        <v/>
      </c>
      <c r="E57" s="3" t="n"/>
      <c r="F57" s="106">
        <f>D57*C57</f>
        <v/>
      </c>
      <c r="M57" s="1" t="inlineStr">
        <is>
          <t xml:space="preserve">Oct </t>
        </is>
      </c>
      <c r="N57" s="1" t="n">
        <v>12</v>
      </c>
    </row>
    <row r="58" ht="15" customHeight="1">
      <c r="B58" s="3" t="inlineStr">
        <is>
          <t>Clerk</t>
        </is>
      </c>
      <c r="C58" s="61" t="n">
        <v>12</v>
      </c>
      <c r="D58" s="87">
        <f>G10/27</f>
        <v/>
      </c>
      <c r="E58" s="3" t="n"/>
      <c r="F58" s="106">
        <f>D58*C58</f>
        <v/>
      </c>
    </row>
    <row r="59" ht="15" customHeight="1">
      <c r="B59" s="3" t="inlineStr">
        <is>
          <t>Dak Rider</t>
        </is>
      </c>
      <c r="C59" s="61" t="n">
        <v>2</v>
      </c>
      <c r="D59" s="87">
        <f>G12/27</f>
        <v/>
      </c>
      <c r="E59" s="3" t="n"/>
      <c r="F59" s="106">
        <f>D59*C59</f>
        <v/>
      </c>
    </row>
    <row r="60" ht="15" customHeight="1">
      <c r="B60" s="34" t="inlineStr">
        <is>
          <t xml:space="preserve">Office attendant </t>
        </is>
      </c>
      <c r="C60" s="61" t="n">
        <v>2</v>
      </c>
      <c r="D60" s="87">
        <f>G11/27</f>
        <v/>
      </c>
      <c r="E60" s="3" t="n"/>
      <c r="F60" s="106">
        <f>D60*C60</f>
        <v/>
      </c>
    </row>
    <row r="61" hidden="1" ht="15" customHeight="1">
      <c r="B61" s="61" t="inlineStr">
        <is>
          <t>Total</t>
        </is>
      </c>
      <c r="C61" s="92" t="n"/>
      <c r="D61" s="84" t="n"/>
      <c r="E61" s="36" t="n"/>
      <c r="F61" s="106" t="n"/>
    </row>
    <row r="62" ht="15" customHeight="1">
      <c r="B62" s="79" t="inlineStr">
        <is>
          <t>Deduction of absantee month of Nov-2025</t>
        </is>
      </c>
      <c r="C62" s="92" t="n"/>
      <c r="D62" s="92" t="n"/>
      <c r="E62" s="92" t="n"/>
      <c r="F62" s="106" t="inlineStr">
        <is>
          <t xml:space="preserve"> </t>
        </is>
      </c>
    </row>
    <row r="63" ht="15" customHeight="1">
      <c r="B63" s="3" t="inlineStr">
        <is>
          <t xml:space="preserve">Receptionist </t>
        </is>
      </c>
      <c r="C63" s="61" t="n">
        <v>0</v>
      </c>
      <c r="D63" s="87">
        <f>G8/26</f>
        <v/>
      </c>
      <c r="E63" s="3" t="n"/>
      <c r="F63" s="106">
        <f>D63*C63</f>
        <v/>
      </c>
      <c r="N63" s="1" t="inlineStr">
        <is>
          <t>cl</t>
        </is>
      </c>
    </row>
    <row r="64" ht="15" customHeight="1">
      <c r="B64" s="3" t="inlineStr">
        <is>
          <t>Computer operator</t>
        </is>
      </c>
      <c r="C64" s="61" t="n">
        <v>4</v>
      </c>
      <c r="D64" s="87">
        <f>G9/25</f>
        <v/>
      </c>
      <c r="E64" s="3" t="n"/>
      <c r="F64" s="106">
        <f>D64*C64</f>
        <v/>
      </c>
      <c r="M64" s="1" t="inlineStr">
        <is>
          <t xml:space="preserve">Oct </t>
        </is>
      </c>
      <c r="N64" s="1" t="n">
        <v>12</v>
      </c>
    </row>
    <row r="65" ht="15" customHeight="1">
      <c r="B65" s="3" t="inlineStr">
        <is>
          <t>Clerk</t>
        </is>
      </c>
      <c r="C65" s="61" t="n">
        <v>3</v>
      </c>
      <c r="D65" s="87">
        <f>G10/25</f>
        <v/>
      </c>
      <c r="E65" s="3" t="n"/>
      <c r="F65" s="106">
        <f>D65*C65</f>
        <v/>
      </c>
    </row>
    <row r="66" ht="15" customHeight="1">
      <c r="B66" s="3" t="inlineStr">
        <is>
          <t>Dak Rider</t>
        </is>
      </c>
      <c r="C66" s="61" t="n">
        <v>0</v>
      </c>
      <c r="D66" s="87">
        <f>G12/25</f>
        <v/>
      </c>
      <c r="E66" s="3" t="n"/>
      <c r="F66" s="106">
        <f>D66*C66</f>
        <v/>
      </c>
    </row>
    <row r="67" ht="15" customHeight="1">
      <c r="B67" s="34" t="inlineStr">
        <is>
          <t xml:space="preserve">Office attendant </t>
        </is>
      </c>
      <c r="C67" s="61" t="n">
        <v>0</v>
      </c>
      <c r="D67" s="87">
        <f>G11/25</f>
        <v/>
      </c>
      <c r="E67" s="3" t="n"/>
      <c r="F67" s="106">
        <f>D67*C67</f>
        <v/>
      </c>
    </row>
    <row r="68">
      <c r="B68" s="61" t="inlineStr">
        <is>
          <t>Total</t>
        </is>
      </c>
      <c r="C68" s="92" t="n"/>
      <c r="D68" s="84" t="n"/>
      <c r="E68" s="3" t="n"/>
      <c r="F68" s="106">
        <f>SUM(F56:F67)</f>
        <v/>
      </c>
    </row>
    <row r="69" ht="15" customHeight="1">
      <c r="B69" s="61" t="inlineStr">
        <is>
          <t>Deduction as per clause 51</t>
        </is>
      </c>
      <c r="C69" s="92" t="n"/>
      <c r="D69" s="84" t="n"/>
      <c r="E69" s="17" t="n"/>
      <c r="F69" s="106">
        <f>ROUND(F68*2, 0)</f>
        <v/>
      </c>
    </row>
  </sheetData>
  <mergeCells count="34">
    <mergeCell ref="B42:D42"/>
    <mergeCell ref="A16:F16"/>
    <mergeCell ref="B7:C7"/>
    <mergeCell ref="B54:F54"/>
    <mergeCell ref="B61:D61"/>
    <mergeCell ref="E24:F24"/>
    <mergeCell ref="E23:F23"/>
    <mergeCell ref="A18:F18"/>
    <mergeCell ref="A26:F26"/>
    <mergeCell ref="B69:D69"/>
    <mergeCell ref="B12:C12"/>
    <mergeCell ref="E20:F20"/>
    <mergeCell ref="B11:C11"/>
    <mergeCell ref="A14:F14"/>
    <mergeCell ref="I32:J32"/>
    <mergeCell ref="B62:E62"/>
    <mergeCell ref="D20:D24"/>
    <mergeCell ref="A17:F17"/>
    <mergeCell ref="B68:D68"/>
    <mergeCell ref="B8:C8"/>
    <mergeCell ref="B13:C13"/>
    <mergeCell ref="A1:J1"/>
    <mergeCell ref="A20:C24"/>
    <mergeCell ref="A19:F19"/>
    <mergeCell ref="B10:C10"/>
    <mergeCell ref="B9:C9"/>
    <mergeCell ref="A15:F15"/>
    <mergeCell ref="E21:F21"/>
    <mergeCell ref="D8:D13"/>
    <mergeCell ref="A3:J5"/>
    <mergeCell ref="E22:F22"/>
    <mergeCell ref="B43:D43"/>
    <mergeCell ref="A25:F25"/>
    <mergeCell ref="B35:F35"/>
  </mergeCells>
  <printOptions horizontalCentered="1"/>
  <pageMargins left="0.37" right="0.37" top="0.3" bottom="0.28" header="0.2" footer="0.2"/>
  <pageSetup orientation="portrait" paperSize="9" scale="70"/>
  <rowBreaks count="1" manualBreakCount="1">
    <brk id="45" min="0" max="9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C28" sqref="C28"/>
    </sheetView>
  </sheetViews>
  <sheetFormatPr baseColWidth="8" defaultRowHeight="15"/>
  <cols>
    <col width="16" bestFit="1" customWidth="1" min="2" max="2"/>
    <col width="10" bestFit="1" customWidth="1" min="3" max="3"/>
    <col width="11.5703125" bestFit="1" customWidth="1" min="4" max="4"/>
    <col width="12" bestFit="1" customWidth="1" min="5" max="5"/>
    <col width="11.5703125" bestFit="1" customWidth="1" min="6" max="6"/>
    <col width="13.42578125" bestFit="1" customWidth="1" min="7" max="7"/>
  </cols>
  <sheetData>
    <row r="1">
      <c r="A1" s="82" t="n">
        <v>45870</v>
      </c>
      <c r="B1" s="92" t="n"/>
      <c r="C1" s="92" t="n"/>
      <c r="D1" s="92" t="n"/>
      <c r="E1" s="92" t="n"/>
      <c r="F1" s="92" t="n"/>
      <c r="G1" s="84" t="n"/>
    </row>
    <row r="2">
      <c r="A2" s="19" t="inlineStr">
        <is>
          <t>S.no</t>
        </is>
      </c>
      <c r="B2" s="19" t="inlineStr">
        <is>
          <t xml:space="preserve">Name </t>
        </is>
      </c>
      <c r="C2" s="28" t="inlineStr">
        <is>
          <t xml:space="preserve">ATTENDANCE </t>
        </is>
      </c>
      <c r="D2" s="19" t="inlineStr">
        <is>
          <t>Per Day Rate</t>
        </is>
      </c>
      <c r="E2" s="107" t="inlineStr">
        <is>
          <t>Due</t>
        </is>
      </c>
      <c r="F2" s="108" t="inlineStr">
        <is>
          <t>Drawn</t>
        </is>
      </c>
      <c r="G2" s="107" t="inlineStr">
        <is>
          <t>Differnce</t>
        </is>
      </c>
    </row>
    <row r="3">
      <c r="A3" s="22" t="n">
        <v>1</v>
      </c>
      <c r="B3" s="23" t="inlineStr">
        <is>
          <t>Nitish</t>
        </is>
      </c>
      <c r="C3" s="24" t="n">
        <v>26</v>
      </c>
      <c r="D3" s="109">
        <f>41633/26</f>
        <v/>
      </c>
      <c r="E3" s="110">
        <f>ROUND(D3*C3, 0)</f>
        <v/>
      </c>
      <c r="F3" s="111" t="n">
        <v>41633</v>
      </c>
      <c r="G3" s="110">
        <f>F3-E3</f>
        <v/>
      </c>
    </row>
    <row r="4">
      <c r="A4" s="22" t="n">
        <v>2</v>
      </c>
      <c r="B4" s="23" t="inlineStr">
        <is>
          <t>Urvashi Pal</t>
        </is>
      </c>
      <c r="C4" s="24" t="n">
        <v>26</v>
      </c>
      <c r="D4" s="109">
        <f>41633/26</f>
        <v/>
      </c>
      <c r="E4" s="110">
        <f>ROUND(D4*C4, 0)</f>
        <v/>
      </c>
      <c r="F4" s="111" t="n">
        <v>41633</v>
      </c>
      <c r="G4" s="110">
        <f>F4-E4</f>
        <v/>
      </c>
    </row>
    <row r="5">
      <c r="A5" s="22" t="n">
        <v>3</v>
      </c>
      <c r="B5" s="23" t="inlineStr">
        <is>
          <t>Radhika Tanwar</t>
        </is>
      </c>
      <c r="C5" s="24" t="n">
        <v>26</v>
      </c>
      <c r="D5" s="109">
        <f>37457/26</f>
        <v/>
      </c>
      <c r="E5" s="110">
        <f>ROUND(D5*C5, 0)</f>
        <v/>
      </c>
      <c r="F5" s="111" t="n">
        <v>0</v>
      </c>
      <c r="G5" s="112">
        <f>F5-E5</f>
        <v/>
      </c>
    </row>
    <row r="6">
      <c r="A6" s="22" t="n">
        <v>4</v>
      </c>
      <c r="B6" s="23" t="inlineStr">
        <is>
          <t>Hemant Kumar</t>
        </is>
      </c>
      <c r="C6" s="24" t="n">
        <v>26</v>
      </c>
      <c r="D6" s="109">
        <f>37457/26</f>
        <v/>
      </c>
      <c r="E6" s="110">
        <f>ROUND(D6*C6, 0)</f>
        <v/>
      </c>
      <c r="F6" s="111" t="n">
        <v>37457</v>
      </c>
      <c r="G6" s="110">
        <f>F6-E6</f>
        <v/>
      </c>
    </row>
    <row r="7">
      <c r="A7" s="22" t="n">
        <v>5</v>
      </c>
      <c r="B7" s="23" t="inlineStr">
        <is>
          <t>Injamamul Azad</t>
        </is>
      </c>
      <c r="C7" s="24" t="n">
        <v>26</v>
      </c>
      <c r="D7" s="109">
        <f>31228/26</f>
        <v/>
      </c>
      <c r="E7" s="110">
        <f>ROUND(D7*C7, 0)</f>
        <v/>
      </c>
      <c r="F7" s="111" t="n">
        <v>31228</v>
      </c>
      <c r="G7" s="110">
        <f>F7-E7</f>
        <v/>
      </c>
    </row>
    <row r="8">
      <c r="A8" s="22" t="n">
        <v>6</v>
      </c>
      <c r="B8" s="23" t="inlineStr">
        <is>
          <t>Gaurav</t>
        </is>
      </c>
      <c r="C8" s="24" t="n">
        <v>24</v>
      </c>
      <c r="D8" s="109">
        <f>31228/26</f>
        <v/>
      </c>
      <c r="E8" s="110">
        <f>ROUND(D8*C8, 0)</f>
        <v/>
      </c>
      <c r="F8" s="111" t="n">
        <v>28825</v>
      </c>
      <c r="G8" s="110">
        <f>F8-E8</f>
        <v/>
      </c>
    </row>
    <row r="9">
      <c r="A9" s="22" t="n">
        <v>7</v>
      </c>
      <c r="B9" s="23" t="inlineStr">
        <is>
          <t>Himanshu Verma</t>
        </is>
      </c>
      <c r="C9" s="24" t="n">
        <v>22</v>
      </c>
      <c r="D9" s="109">
        <f>31228/26</f>
        <v/>
      </c>
      <c r="E9" s="110">
        <f>ROUND(D9*C9, 0)</f>
        <v/>
      </c>
      <c r="F9" s="111" t="n">
        <v>19217</v>
      </c>
      <c r="G9" s="112">
        <f>F9-E9</f>
        <v/>
      </c>
    </row>
    <row r="10">
      <c r="A10" s="22" t="n">
        <v>8</v>
      </c>
      <c r="B10" s="23" t="inlineStr">
        <is>
          <t>Dhiraj Kumar</t>
        </is>
      </c>
      <c r="C10" s="24" t="n">
        <v>25</v>
      </c>
      <c r="D10" s="109">
        <f>31228/26</f>
        <v/>
      </c>
      <c r="E10" s="110">
        <f>ROUND(D10*C10, 0)</f>
        <v/>
      </c>
      <c r="F10" s="111" t="n">
        <v>30027</v>
      </c>
      <c r="G10" s="110">
        <f>F10-E10</f>
        <v/>
      </c>
    </row>
    <row r="11">
      <c r="A11" s="22" t="n">
        <v>9</v>
      </c>
      <c r="B11" s="23" t="inlineStr">
        <is>
          <t>Vivek Jaiswal</t>
        </is>
      </c>
      <c r="C11" s="24" t="n">
        <v>24</v>
      </c>
      <c r="D11" s="109">
        <f>31228/26</f>
        <v/>
      </c>
      <c r="E11" s="110">
        <f>ROUND(D11*C11, 0)</f>
        <v/>
      </c>
      <c r="F11" s="111">
        <f>21619+7206</f>
        <v/>
      </c>
      <c r="G11" s="110">
        <f>F11-E11</f>
        <v/>
      </c>
    </row>
    <row r="12">
      <c r="A12" s="22" t="n">
        <v>10</v>
      </c>
      <c r="B12" s="23" t="inlineStr">
        <is>
          <t>Sawapna Devi</t>
        </is>
      </c>
      <c r="C12" s="24" t="n">
        <v>22</v>
      </c>
      <c r="D12" s="109">
        <f>31228/26</f>
        <v/>
      </c>
      <c r="E12" s="110">
        <f>ROUND(D12*C12, 0)</f>
        <v/>
      </c>
      <c r="F12" s="111" t="n">
        <v>40025</v>
      </c>
      <c r="G12" s="110">
        <f>F12-E12</f>
        <v/>
      </c>
    </row>
    <row r="13">
      <c r="A13" s="22" t="n">
        <v>11</v>
      </c>
      <c r="B13" s="23" t="inlineStr">
        <is>
          <t>Vipul Ghai</t>
        </is>
      </c>
      <c r="C13" s="24" t="n">
        <v>26</v>
      </c>
      <c r="D13" s="113" t="n">
        <v>981</v>
      </c>
      <c r="E13" s="110">
        <f>ROUND(D13*C13, 0)</f>
        <v/>
      </c>
      <c r="F13" s="111" t="n">
        <v>30006</v>
      </c>
      <c r="G13" s="110">
        <f>F13-E13</f>
        <v/>
      </c>
    </row>
    <row r="14">
      <c r="A14" s="22" t="n">
        <v>12</v>
      </c>
      <c r="B14" s="23" t="inlineStr">
        <is>
          <t>Munna Lal</t>
        </is>
      </c>
      <c r="C14" s="24" t="n">
        <v>26</v>
      </c>
      <c r="D14" s="113" t="n">
        <v>981</v>
      </c>
      <c r="E14" s="110">
        <f>ROUND(D14*C14, 0)</f>
        <v/>
      </c>
      <c r="F14" s="111" t="n">
        <v>25506</v>
      </c>
      <c r="G14" s="110">
        <f>F14-E14</f>
        <v/>
      </c>
    </row>
    <row r="15">
      <c r="A15" s="22" t="n">
        <v>13</v>
      </c>
      <c r="B15" s="23" t="inlineStr">
        <is>
          <t>Vishal</t>
        </is>
      </c>
      <c r="C15" s="24" t="n">
        <v>26</v>
      </c>
      <c r="D15" s="113" t="n">
        <v>981</v>
      </c>
      <c r="E15" s="110">
        <f>ROUND(D15*C15, 0)</f>
        <v/>
      </c>
      <c r="F15" s="111" t="n">
        <v>25506</v>
      </c>
      <c r="G15" s="110">
        <f>F15-E15</f>
        <v/>
      </c>
    </row>
    <row r="16">
      <c r="A16" s="22" t="n">
        <v>14</v>
      </c>
      <c r="B16" s="23" t="inlineStr">
        <is>
          <t>Naveen</t>
        </is>
      </c>
      <c r="C16" s="24" t="n">
        <v>2</v>
      </c>
      <c r="D16" s="109">
        <f>31228/26</f>
        <v/>
      </c>
      <c r="E16" s="110">
        <f>ROUND(D16*C16, 0)</f>
        <v/>
      </c>
      <c r="F16" s="111" t="n">
        <v>62456</v>
      </c>
      <c r="G16" s="110">
        <f>F16-E16</f>
        <v/>
      </c>
    </row>
    <row r="17">
      <c r="A17" s="22" t="n">
        <v>15</v>
      </c>
      <c r="B17" s="23" t="inlineStr">
        <is>
          <t>Arvind</t>
        </is>
      </c>
      <c r="C17" s="24" t="n">
        <v>5</v>
      </c>
      <c r="D17" s="109">
        <f>31228/26</f>
        <v/>
      </c>
      <c r="E17" s="110">
        <f>ROUND(D17*C17, 0)</f>
        <v/>
      </c>
      <c r="F17" s="111" t="n">
        <v>6005</v>
      </c>
      <c r="G17" s="110">
        <f>F17-E17</f>
        <v/>
      </c>
    </row>
    <row r="18">
      <c r="E18" s="114" t="n"/>
      <c r="F18" s="114" t="n"/>
      <c r="G18" s="114" t="n"/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2026-02-25T05:07:10Z</dcterms:modified>
</cp:coreProperties>
</file>