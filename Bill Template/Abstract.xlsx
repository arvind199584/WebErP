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760" yWindow="2760" windowWidth="21600" windowHeight="11175"/>
  </bookViews>
  <sheets>
    <sheet name="3rd RA" sheetId="2" r:id="rId1"/>
    <sheet name="wages 8 25" sheetId="3" r:id="rId2"/>
  </sheets>
  <definedNames>
    <definedName name="_xlnm.Print_Area" localSheetId="0">'3rd RA'!$A$1:$J$45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2"/>
  <c r="Q13"/>
  <c r="P24"/>
  <c r="H11" l="1"/>
  <c r="H9"/>
  <c r="H8"/>
  <c r="F43"/>
  <c r="J15" s="1"/>
  <c r="Q24"/>
  <c r="F68" l="1"/>
  <c r="F69" s="1"/>
  <c r="F64"/>
  <c r="F65"/>
  <c r="F66"/>
  <c r="F67"/>
  <c r="F63"/>
  <c r="F57"/>
  <c r="F58"/>
  <c r="F59"/>
  <c r="F60"/>
  <c r="F56"/>
  <c r="F38"/>
  <c r="F39"/>
  <c r="F40"/>
  <c r="F42" s="1"/>
  <c r="F41"/>
  <c r="F37"/>
  <c r="D67"/>
  <c r="D66"/>
  <c r="D65"/>
  <c r="D64"/>
  <c r="D63"/>
  <c r="D60"/>
  <c r="D59"/>
  <c r="D58"/>
  <c r="D57"/>
  <c r="D56"/>
  <c r="Q8" l="1"/>
  <c r="D41"/>
  <c r="D40"/>
  <c r="D39"/>
  <c r="D38"/>
  <c r="D37"/>
  <c r="E4" i="3"/>
  <c r="E5"/>
  <c r="E6"/>
  <c r="E7"/>
  <c r="E8"/>
  <c r="E9"/>
  <c r="E10"/>
  <c r="E11"/>
  <c r="E12"/>
  <c r="E13"/>
  <c r="E14"/>
  <c r="E15"/>
  <c r="G15" s="1"/>
  <c r="E16"/>
  <c r="G16" s="1"/>
  <c r="E17"/>
  <c r="G17" s="1"/>
  <c r="E3"/>
  <c r="G3" s="1"/>
  <c r="G4"/>
  <c r="G5"/>
  <c r="G6"/>
  <c r="G7"/>
  <c r="G8"/>
  <c r="G9"/>
  <c r="G10"/>
  <c r="G11"/>
  <c r="G12"/>
  <c r="G13"/>
  <c r="G14"/>
  <c r="F11"/>
  <c r="D17" l="1"/>
  <c r="D16"/>
  <c r="D12"/>
  <c r="D11"/>
  <c r="D10"/>
  <c r="D9"/>
  <c r="D8"/>
  <c r="D7"/>
  <c r="D6"/>
  <c r="D5"/>
  <c r="D4"/>
  <c r="D3"/>
  <c r="H15" i="2" l="1"/>
  <c r="H13" l="1"/>
  <c r="J13" s="1"/>
  <c r="J9"/>
  <c r="H12"/>
  <c r="J12" s="1"/>
  <c r="J11"/>
  <c r="H10"/>
  <c r="J10" l="1"/>
  <c r="J14" s="1"/>
  <c r="H14"/>
  <c r="H16" s="1"/>
  <c r="J8"/>
  <c r="J16" l="1"/>
  <c r="J17" s="1"/>
  <c r="J18" s="1"/>
  <c r="J19" s="1"/>
  <c r="D20" s="1"/>
  <c r="H17"/>
  <c r="H18" s="1"/>
  <c r="H19" s="1"/>
  <c r="J20" l="1"/>
  <c r="J21"/>
  <c r="J22"/>
  <c r="J23"/>
  <c r="J25" l="1"/>
  <c r="J26" s="1"/>
</calcChain>
</file>

<file path=xl/sharedStrings.xml><?xml version="1.0" encoding="utf-8"?>
<sst xmlns="http://schemas.openxmlformats.org/spreadsheetml/2006/main" count="105" uniqueCount="77">
  <si>
    <t>S. No.</t>
  </si>
  <si>
    <t>Description of manpower</t>
  </si>
  <si>
    <t>Period</t>
  </si>
  <si>
    <t>Qty</t>
  </si>
  <si>
    <t>Rate per person/ per month</t>
  </si>
  <si>
    <t>Upto date</t>
  </si>
  <si>
    <t>Gross Previous</t>
  </si>
  <si>
    <t>Since previous (current bill)</t>
  </si>
  <si>
    <t>Total</t>
  </si>
  <si>
    <t>Total recoveries</t>
  </si>
  <si>
    <t>Net amount payable in this bill</t>
  </si>
  <si>
    <t xml:space="preserve">Providing Computer Operator </t>
  </si>
  <si>
    <t xml:space="preserve">Providing Clerk </t>
  </si>
  <si>
    <t>Providing Office attendent</t>
  </si>
  <si>
    <t xml:space="preserve">Provding Dak Rider </t>
  </si>
  <si>
    <t xml:space="preserve">Conveyance for Dak Rider </t>
  </si>
  <si>
    <t>Per person per month</t>
  </si>
  <si>
    <t xml:space="preserve">Rate </t>
  </si>
  <si>
    <t>(-)</t>
  </si>
  <si>
    <t>Providing Receptionist</t>
  </si>
  <si>
    <t>RE (Civil), DGCD, DDA</t>
  </si>
  <si>
    <t xml:space="preserve">Income Tax @ 2% </t>
  </si>
  <si>
    <t xml:space="preserve">CGST @ 1% </t>
  </si>
  <si>
    <t>SGST @ 1%</t>
  </si>
  <si>
    <t xml:space="preserve">Security Deposit @ 5% </t>
  </si>
  <si>
    <t xml:space="preserve">Recoveries on </t>
  </si>
  <si>
    <t>Withheld non-payment of wages</t>
  </si>
  <si>
    <t>Clerk</t>
  </si>
  <si>
    <t>Description</t>
  </si>
  <si>
    <t>Absantee</t>
  </si>
  <si>
    <t>Amount</t>
  </si>
  <si>
    <t>Deduction as per clause 51</t>
  </si>
  <si>
    <t>S.no</t>
  </si>
  <si>
    <t xml:space="preserve">Name </t>
  </si>
  <si>
    <t xml:space="preserve">ATTENDANCE </t>
  </si>
  <si>
    <t>Per Day Rate</t>
  </si>
  <si>
    <t>Differnce</t>
  </si>
  <si>
    <t>Nitish</t>
  </si>
  <si>
    <t>Urvashi Pal</t>
  </si>
  <si>
    <t>Radhika Tanwar</t>
  </si>
  <si>
    <t>Hemant Kumar</t>
  </si>
  <si>
    <t>Injamamul Azad</t>
  </si>
  <si>
    <t>Gaurav</t>
  </si>
  <si>
    <t>Himanshu Verma</t>
  </si>
  <si>
    <t>Dhiraj Kumar</t>
  </si>
  <si>
    <t>Vivek Jaiswal</t>
  </si>
  <si>
    <t>Sawapna Devi</t>
  </si>
  <si>
    <t>Vipul Ghai</t>
  </si>
  <si>
    <t>Munna Lal</t>
  </si>
  <si>
    <t>Vishal</t>
  </si>
  <si>
    <t>Naveen</t>
  </si>
  <si>
    <t>Arvind</t>
  </si>
  <si>
    <t>Due</t>
  </si>
  <si>
    <t>Drawn</t>
  </si>
  <si>
    <t xml:space="preserve"> </t>
  </si>
  <si>
    <t>Per month</t>
  </si>
  <si>
    <t xml:space="preserve">Receptionist </t>
  </si>
  <si>
    <t>Computer operator</t>
  </si>
  <si>
    <t>Dak Rider</t>
  </si>
  <si>
    <t xml:space="preserve">Office attendant </t>
  </si>
  <si>
    <t>cl</t>
  </si>
  <si>
    <t xml:space="preserve">Oct </t>
  </si>
  <si>
    <t>Deduction of absantee month of Oct-2025</t>
  </si>
  <si>
    <t>01.10.2025 to 30.11.2025</t>
  </si>
  <si>
    <t>Deduction of absantee month of Nov-2025</t>
  </si>
  <si>
    <t>4th R/A Bill</t>
  </si>
  <si>
    <t>93+3</t>
  </si>
  <si>
    <t>96+1</t>
  </si>
  <si>
    <t>22+3</t>
  </si>
  <si>
    <t>-</t>
  </si>
  <si>
    <t xml:space="preserve">Absentee as per clause No. 51(g) will be deducted </t>
  </si>
  <si>
    <t>Computer Operator</t>
  </si>
  <si>
    <t>Name of Work : M/o Dwarka Golf Course, Sector-24.
Sub Head: Providing various staff for office maintenance at Dwarka Golf Course.
Agmt No. 01/DGCD/DDA/2025-26
Agency :  M/s. High Command
R/A Bill:   4th R/A Bill
Period :   01 Oct 2025 to 30 Nov 2025</t>
  </si>
  <si>
    <r>
      <t xml:space="preserve">Add Contractor Profit 8.38% </t>
    </r>
    <r>
      <rPr>
        <b/>
        <sz val="11"/>
        <color theme="1"/>
        <rFont val="Arial"/>
        <family val="2"/>
      </rPr>
      <t xml:space="preserve">(B) </t>
    </r>
  </si>
  <si>
    <t xml:space="preserve">Total (A) </t>
  </si>
  <si>
    <r>
      <t xml:space="preserve">Total </t>
    </r>
    <r>
      <rPr>
        <b/>
        <sz val="11"/>
        <color theme="1"/>
        <rFont val="Arial"/>
        <family val="2"/>
      </rPr>
      <t>(A+B)</t>
    </r>
  </si>
  <si>
    <t>Gross amount of this bill</t>
  </si>
</sst>
</file>

<file path=xl/styles.xml><?xml version="1.0" encoding="utf-8"?>
<styleSheet xmlns="http://schemas.openxmlformats.org/spreadsheetml/2006/main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.00_ ;_ [$₹-4009]\ * \-#,##0.00_ ;_ [$₹-4009]\ * &quot;-&quot;??_ ;_ @_ 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b/>
      <sz val="11"/>
      <color indexed="8"/>
      <name val="Calibri"/>
      <family val="2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8"/>
      <color indexed="8"/>
      <name val="Calibri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i/>
      <sz val="10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44" fontId="1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/>
    </xf>
    <xf numFmtId="14" fontId="1" fillId="0" borderId="0" xfId="0" applyNumberFormat="1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44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" fontId="1" fillId="0" borderId="0" xfId="0" applyNumberFormat="1" applyFont="1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11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164" fontId="10" fillId="3" borderId="1" xfId="0" applyNumberFormat="1" applyFont="1" applyFill="1" applyBorder="1"/>
    <xf numFmtId="164" fontId="5" fillId="3" borderId="1" xfId="0" applyNumberFormat="1" applyFont="1" applyFill="1" applyBorder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4" xfId="0" applyFont="1" applyBorder="1" applyAlignment="1">
      <alignment vertical="top" wrapText="1"/>
    </xf>
    <xf numFmtId="17" fontId="1" fillId="0" borderId="0" xfId="0" applyNumberFormat="1" applyFont="1" applyAlignment="1">
      <alignment vertical="top" wrapText="1"/>
    </xf>
    <xf numFmtId="0" fontId="1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44" fontId="14" fillId="0" borderId="1" xfId="0" applyNumberFormat="1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" fillId="0" borderId="5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4" fillId="0" borderId="15" xfId="0" applyFont="1" applyBorder="1" applyAlignment="1">
      <alignment horizontal="right" vertical="top" wrapText="1"/>
    </xf>
    <xf numFmtId="0" fontId="14" fillId="0" borderId="9" xfId="0" applyFont="1" applyBorder="1" applyAlignment="1">
      <alignment horizontal="right" vertical="top" wrapText="1"/>
    </xf>
    <xf numFmtId="0" fontId="14" fillId="0" borderId="4" xfId="0" applyFont="1" applyBorder="1" applyAlignment="1">
      <alignment horizontal="right" vertical="top" wrapText="1"/>
    </xf>
    <xf numFmtId="0" fontId="14" fillId="0" borderId="5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44" fontId="1" fillId="0" borderId="7" xfId="0" applyNumberFormat="1" applyFont="1" applyBorder="1" applyAlignment="1">
      <alignment horizontal="left" vertical="center" wrapText="1"/>
    </xf>
    <xf numFmtId="44" fontId="1" fillId="0" borderId="8" xfId="0" applyNumberFormat="1" applyFont="1" applyBorder="1" applyAlignment="1">
      <alignment horizontal="left" vertical="center" wrapText="1"/>
    </xf>
    <xf numFmtId="44" fontId="1" fillId="0" borderId="10" xfId="0" applyNumberFormat="1" applyFont="1" applyBorder="1" applyAlignment="1">
      <alignment horizontal="left" vertical="center" wrapText="1"/>
    </xf>
    <xf numFmtId="0" fontId="1" fillId="0" borderId="13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14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17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897732</xdr:colOff>
      <xdr:row>19</xdr:row>
      <xdr:rowOff>28576</xdr:rowOff>
    </xdr:from>
    <xdr:to>
      <xdr:col>4</xdr:col>
      <xdr:colOff>219075</xdr:colOff>
      <xdr:row>23</xdr:row>
      <xdr:rowOff>314326</xdr:rowOff>
    </xdr:to>
    <xdr:sp macro="" textlink="">
      <xdr:nvSpPr>
        <xdr:cNvPr id="3" name="Left Brac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2917032" y="6591301"/>
          <a:ext cx="283368" cy="1695450"/>
        </a:xfrm>
        <a:prstGeom prst="leftBrac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523876</xdr:colOff>
      <xdr:row>20</xdr:row>
      <xdr:rowOff>0</xdr:rowOff>
    </xdr:from>
    <xdr:to>
      <xdr:col>12</xdr:col>
      <xdr:colOff>600076</xdr:colOff>
      <xdr:row>24</xdr:row>
      <xdr:rowOff>314325</xdr:rowOff>
    </xdr:to>
    <xdr:sp macro="" textlink="">
      <xdr:nvSpPr>
        <xdr:cNvPr id="4" name="Left Brace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10144126" y="6915150"/>
          <a:ext cx="76200" cy="1724025"/>
        </a:xfrm>
        <a:prstGeom prst="leftBrac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9"/>
  <sheetViews>
    <sheetView tabSelected="1" view="pageBreakPreview" zoomScaleNormal="80" zoomScaleSheetLayoutView="100" workbookViewId="0">
      <selection activeCell="R23" sqref="R23"/>
    </sheetView>
  </sheetViews>
  <sheetFormatPr defaultRowHeight="14.25"/>
  <cols>
    <col min="1" max="1" width="6.140625" style="1" customWidth="1"/>
    <col min="2" max="2" width="13.5703125" style="1" customWidth="1"/>
    <col min="3" max="3" width="10.5703125" style="1" customWidth="1"/>
    <col min="4" max="4" width="14.42578125" style="1" customWidth="1"/>
    <col min="5" max="5" width="8.85546875" style="1" customWidth="1"/>
    <col min="6" max="6" width="13.5703125" style="1" customWidth="1"/>
    <col min="7" max="9" width="15.28515625" style="1" customWidth="1"/>
    <col min="10" max="10" width="20.140625" style="1" customWidth="1"/>
    <col min="11" max="11" width="5" style="1" customWidth="1"/>
    <col min="12" max="16" width="9.140625" style="1"/>
    <col min="17" max="17" width="17.28515625" style="1" customWidth="1"/>
    <col min="18" max="18" width="9" style="1" bestFit="1" customWidth="1"/>
    <col min="19" max="16384" width="9.140625" style="1"/>
  </cols>
  <sheetData>
    <row r="1" spans="1:24" ht="18">
      <c r="A1" s="56" t="s">
        <v>65</v>
      </c>
      <c r="B1" s="56"/>
      <c r="C1" s="56"/>
      <c r="D1" s="56"/>
      <c r="E1" s="56"/>
      <c r="F1" s="56"/>
      <c r="G1" s="56"/>
      <c r="H1" s="56"/>
      <c r="I1" s="56"/>
      <c r="J1" s="56"/>
    </row>
    <row r="3" spans="1:24">
      <c r="A3" s="55" t="s">
        <v>72</v>
      </c>
      <c r="B3" s="55"/>
      <c r="C3" s="55"/>
      <c r="D3" s="55"/>
      <c r="E3" s="55"/>
      <c r="F3" s="55"/>
      <c r="G3" s="55"/>
      <c r="H3" s="55"/>
      <c r="I3" s="55"/>
      <c r="J3" s="55"/>
    </row>
    <row r="4" spans="1:24">
      <c r="A4" s="55"/>
      <c r="B4" s="55"/>
      <c r="C4" s="55"/>
      <c r="D4" s="55"/>
      <c r="E4" s="55"/>
      <c r="F4" s="55"/>
      <c r="G4" s="55"/>
      <c r="H4" s="55"/>
      <c r="I4" s="55"/>
      <c r="J4" s="55"/>
    </row>
    <row r="5" spans="1:24" ht="60" customHeight="1">
      <c r="A5" s="55"/>
      <c r="B5" s="55"/>
      <c r="C5" s="55"/>
      <c r="D5" s="55"/>
      <c r="E5" s="55"/>
      <c r="F5" s="55"/>
      <c r="G5" s="55"/>
      <c r="H5" s="55"/>
      <c r="I5" s="55"/>
      <c r="J5" s="55"/>
    </row>
    <row r="6" spans="1:24">
      <c r="U6" s="8"/>
    </row>
    <row r="7" spans="1:24" ht="44.25" customHeight="1">
      <c r="A7" s="4" t="s">
        <v>0</v>
      </c>
      <c r="B7" s="57" t="s">
        <v>1</v>
      </c>
      <c r="C7" s="57"/>
      <c r="D7" s="4" t="s">
        <v>2</v>
      </c>
      <c r="E7" s="4" t="s">
        <v>3</v>
      </c>
      <c r="F7" s="4" t="s">
        <v>4</v>
      </c>
      <c r="G7" s="4" t="s">
        <v>17</v>
      </c>
      <c r="H7" s="4" t="s">
        <v>5</v>
      </c>
      <c r="I7" s="4" t="s">
        <v>6</v>
      </c>
      <c r="J7" s="4" t="s">
        <v>7</v>
      </c>
      <c r="M7" s="37">
        <v>45931</v>
      </c>
      <c r="N7" s="37">
        <v>45962</v>
      </c>
      <c r="O7" s="37"/>
      <c r="P7" s="37"/>
      <c r="R7" s="7"/>
      <c r="S7" s="7"/>
      <c r="U7" s="8"/>
      <c r="X7" s="8"/>
    </row>
    <row r="8" spans="1:24" ht="28.5">
      <c r="A8" s="10">
        <v>1</v>
      </c>
      <c r="B8" s="58" t="s">
        <v>19</v>
      </c>
      <c r="C8" s="59"/>
      <c r="D8" s="65" t="s">
        <v>63</v>
      </c>
      <c r="E8" s="10">
        <v>4</v>
      </c>
      <c r="F8" s="10" t="s">
        <v>16</v>
      </c>
      <c r="G8" s="14">
        <v>41633</v>
      </c>
      <c r="H8" s="14">
        <f>G8*E8</f>
        <v>166532</v>
      </c>
      <c r="I8" s="14">
        <v>0</v>
      </c>
      <c r="J8" s="14">
        <f t="shared" ref="J8:J13" si="0">H8-I8</f>
        <v>166532</v>
      </c>
      <c r="M8" s="1">
        <v>2</v>
      </c>
      <c r="N8" s="1">
        <v>2</v>
      </c>
      <c r="O8" s="1" t="s">
        <v>69</v>
      </c>
      <c r="Q8" s="1">
        <f>(20+25+25+23)/25</f>
        <v>3.72</v>
      </c>
      <c r="R8" s="7"/>
      <c r="S8" s="7"/>
      <c r="U8" s="8"/>
      <c r="X8" s="8"/>
    </row>
    <row r="9" spans="1:24" ht="28.5">
      <c r="A9" s="10">
        <v>2</v>
      </c>
      <c r="B9" s="58" t="s">
        <v>11</v>
      </c>
      <c r="C9" s="59"/>
      <c r="D9" s="66"/>
      <c r="E9" s="10">
        <v>7.84</v>
      </c>
      <c r="F9" s="10" t="s">
        <v>16</v>
      </c>
      <c r="G9" s="14">
        <v>37457</v>
      </c>
      <c r="H9" s="14">
        <f>G9*E9</f>
        <v>293662.88</v>
      </c>
      <c r="I9" s="14">
        <v>0</v>
      </c>
      <c r="J9" s="14">
        <f t="shared" si="0"/>
        <v>293662.88</v>
      </c>
      <c r="M9" s="1">
        <v>4</v>
      </c>
      <c r="N9" s="1">
        <v>3.84</v>
      </c>
      <c r="O9" s="1" t="s">
        <v>66</v>
      </c>
      <c r="Q9" s="13"/>
      <c r="R9" s="7"/>
      <c r="S9" s="7"/>
      <c r="U9" s="8"/>
      <c r="X9" s="8"/>
    </row>
    <row r="10" spans="1:24" ht="28.5">
      <c r="A10" s="10">
        <v>3</v>
      </c>
      <c r="B10" s="58" t="s">
        <v>12</v>
      </c>
      <c r="C10" s="59"/>
      <c r="D10" s="66"/>
      <c r="E10" s="10">
        <v>7.88</v>
      </c>
      <c r="F10" s="10" t="s">
        <v>16</v>
      </c>
      <c r="G10" s="14">
        <v>31228</v>
      </c>
      <c r="H10" s="14">
        <f t="shared" ref="H10:H13" si="1">G10*E10</f>
        <v>246076.63999999998</v>
      </c>
      <c r="I10" s="14">
        <v>0</v>
      </c>
      <c r="J10" s="14">
        <f t="shared" si="0"/>
        <v>246076.63999999998</v>
      </c>
      <c r="M10" s="1">
        <v>4</v>
      </c>
      <c r="N10" s="1">
        <v>3.88</v>
      </c>
      <c r="O10" s="1" t="s">
        <v>67</v>
      </c>
      <c r="R10" s="7"/>
      <c r="S10" s="7"/>
      <c r="U10" s="8"/>
      <c r="X10" s="8"/>
    </row>
    <row r="11" spans="1:24" ht="28.5">
      <c r="A11" s="10">
        <v>4</v>
      </c>
      <c r="B11" s="58" t="s">
        <v>13</v>
      </c>
      <c r="C11" s="59"/>
      <c r="D11" s="66"/>
      <c r="E11" s="10">
        <v>4</v>
      </c>
      <c r="F11" s="10" t="s">
        <v>16</v>
      </c>
      <c r="G11" s="14">
        <v>25506</v>
      </c>
      <c r="H11" s="14">
        <f>G11*E11</f>
        <v>102024</v>
      </c>
      <c r="I11" s="14">
        <v>0</v>
      </c>
      <c r="J11" s="14">
        <f t="shared" si="0"/>
        <v>102024</v>
      </c>
      <c r="M11" s="1">
        <v>2</v>
      </c>
      <c r="N11" s="1">
        <v>2</v>
      </c>
      <c r="Q11" s="13"/>
      <c r="R11" s="7"/>
      <c r="S11" s="7"/>
      <c r="U11" s="8"/>
      <c r="X11" s="8"/>
    </row>
    <row r="12" spans="1:24" ht="28.5">
      <c r="A12" s="10">
        <v>5</v>
      </c>
      <c r="B12" s="58" t="s">
        <v>14</v>
      </c>
      <c r="C12" s="59"/>
      <c r="D12" s="66"/>
      <c r="E12" s="10">
        <v>2</v>
      </c>
      <c r="F12" s="10" t="s">
        <v>16</v>
      </c>
      <c r="G12" s="14">
        <v>25506</v>
      </c>
      <c r="H12" s="14">
        <f t="shared" si="1"/>
        <v>51012</v>
      </c>
      <c r="I12" s="14">
        <v>0</v>
      </c>
      <c r="J12" s="14">
        <f t="shared" si="0"/>
        <v>51012</v>
      </c>
      <c r="M12" s="1">
        <v>1</v>
      </c>
      <c r="N12" s="1">
        <v>1</v>
      </c>
      <c r="O12" s="1" t="s">
        <v>68</v>
      </c>
      <c r="R12" s="7"/>
      <c r="S12" s="7"/>
      <c r="U12" s="8"/>
      <c r="X12" s="8"/>
    </row>
    <row r="13" spans="1:24" ht="28.5" customHeight="1">
      <c r="A13" s="10">
        <v>6</v>
      </c>
      <c r="B13" s="58" t="s">
        <v>15</v>
      </c>
      <c r="C13" s="59"/>
      <c r="D13" s="67"/>
      <c r="E13" s="10">
        <v>2</v>
      </c>
      <c r="F13" s="18" t="s">
        <v>55</v>
      </c>
      <c r="G13" s="14">
        <v>4500</v>
      </c>
      <c r="H13" s="14">
        <f t="shared" si="1"/>
        <v>9000</v>
      </c>
      <c r="I13" s="14">
        <v>0</v>
      </c>
      <c r="J13" s="14">
        <f t="shared" si="0"/>
        <v>9000</v>
      </c>
      <c r="M13" s="1">
        <v>1</v>
      </c>
      <c r="N13" s="1">
        <v>1</v>
      </c>
      <c r="Q13" s="35">
        <f>G9/25*20+37457</f>
        <v>67422.600000000006</v>
      </c>
      <c r="R13" s="7"/>
      <c r="S13" s="7"/>
      <c r="U13" s="8"/>
      <c r="X13" s="8"/>
    </row>
    <row r="14" spans="1:24" ht="27.75" customHeight="1">
      <c r="A14" s="54" t="s">
        <v>8</v>
      </c>
      <c r="B14" s="52"/>
      <c r="C14" s="52"/>
      <c r="D14" s="52"/>
      <c r="E14" s="52"/>
      <c r="F14" s="53"/>
      <c r="G14" s="43"/>
      <c r="H14" s="5">
        <f>ROUND(SUM(H8:H13), 0)</f>
        <v>868308</v>
      </c>
      <c r="I14" s="5">
        <v>0</v>
      </c>
      <c r="J14" s="5">
        <f>ROUND(SUM(J8:J13), 0)</f>
        <v>868308</v>
      </c>
    </row>
    <row r="15" spans="1:24" ht="27.75" customHeight="1">
      <c r="A15" s="54" t="s">
        <v>70</v>
      </c>
      <c r="B15" s="52"/>
      <c r="C15" s="52"/>
      <c r="D15" s="52"/>
      <c r="E15" s="52"/>
      <c r="F15" s="53"/>
      <c r="G15" s="43" t="s">
        <v>18</v>
      </c>
      <c r="H15" s="5">
        <f>J15+I15</f>
        <v>38399</v>
      </c>
      <c r="I15" s="3"/>
      <c r="J15" s="5">
        <f>F43</f>
        <v>38399</v>
      </c>
    </row>
    <row r="16" spans="1:24" ht="27.75" customHeight="1">
      <c r="A16" s="45" t="s">
        <v>74</v>
      </c>
      <c r="B16" s="46"/>
      <c r="C16" s="46"/>
      <c r="D16" s="46"/>
      <c r="E16" s="46"/>
      <c r="F16" s="47"/>
      <c r="G16" s="12"/>
      <c r="H16" s="9">
        <f>H14-H15</f>
        <v>829909</v>
      </c>
      <c r="I16" s="9"/>
      <c r="J16" s="9">
        <f>J14-J15</f>
        <v>829909</v>
      </c>
    </row>
    <row r="17" spans="1:17" ht="27.75" customHeight="1">
      <c r="A17" s="54" t="s">
        <v>73</v>
      </c>
      <c r="B17" s="52"/>
      <c r="C17" s="52"/>
      <c r="D17" s="52"/>
      <c r="E17" s="52"/>
      <c r="F17" s="53"/>
      <c r="G17" s="11"/>
      <c r="H17" s="5">
        <f>H16*8.38%</f>
        <v>69546.374200000006</v>
      </c>
      <c r="I17" s="3"/>
      <c r="J17" s="5">
        <f>J16*8.38%</f>
        <v>69546.374200000006</v>
      </c>
    </row>
    <row r="18" spans="1:17" ht="27.75" customHeight="1">
      <c r="A18" s="54" t="s">
        <v>75</v>
      </c>
      <c r="B18" s="52"/>
      <c r="C18" s="52"/>
      <c r="D18" s="52"/>
      <c r="E18" s="52"/>
      <c r="F18" s="53"/>
      <c r="G18" s="11"/>
      <c r="H18" s="5">
        <f>H16+H17</f>
        <v>899455.37419999996</v>
      </c>
      <c r="I18" s="3"/>
      <c r="J18" s="5">
        <f>J16+J17</f>
        <v>899455.37419999996</v>
      </c>
    </row>
    <row r="19" spans="1:17" ht="27.75" customHeight="1">
      <c r="A19" s="68" t="s">
        <v>76</v>
      </c>
      <c r="B19" s="69"/>
      <c r="C19" s="69"/>
      <c r="D19" s="69"/>
      <c r="E19" s="46"/>
      <c r="F19" s="47"/>
      <c r="G19" s="11"/>
      <c r="H19" s="9">
        <f>ROUND(H18, 0)</f>
        <v>899455</v>
      </c>
      <c r="I19" s="3"/>
      <c r="J19" s="9">
        <f>ROUND(J18, 0)</f>
        <v>899455</v>
      </c>
    </row>
    <row r="20" spans="1:17" ht="27.75" customHeight="1">
      <c r="A20" s="73" t="s">
        <v>25</v>
      </c>
      <c r="B20" s="74"/>
      <c r="C20" s="74"/>
      <c r="D20" s="70">
        <f>J19</f>
        <v>899455</v>
      </c>
      <c r="E20" s="52" t="s">
        <v>21</v>
      </c>
      <c r="F20" s="53"/>
      <c r="G20" s="43"/>
      <c r="H20" s="3"/>
      <c r="I20" s="3"/>
      <c r="J20" s="5">
        <f>ROUND(J19*2%,0)</f>
        <v>17989</v>
      </c>
      <c r="M20" s="1" t="s">
        <v>54</v>
      </c>
    </row>
    <row r="21" spans="1:17" ht="27.75" customHeight="1">
      <c r="A21" s="75"/>
      <c r="B21" s="76"/>
      <c r="C21" s="76"/>
      <c r="D21" s="71"/>
      <c r="E21" s="52" t="s">
        <v>22</v>
      </c>
      <c r="F21" s="53"/>
      <c r="G21" s="43"/>
      <c r="H21" s="3"/>
      <c r="I21" s="3"/>
      <c r="J21" s="5">
        <f>ROUND(J19*1%,0)</f>
        <v>8995</v>
      </c>
    </row>
    <row r="22" spans="1:17" ht="27.75" customHeight="1">
      <c r="A22" s="75"/>
      <c r="B22" s="76"/>
      <c r="C22" s="76"/>
      <c r="D22" s="71"/>
      <c r="E22" s="52" t="s">
        <v>23</v>
      </c>
      <c r="F22" s="53"/>
      <c r="G22" s="43"/>
      <c r="H22" s="3"/>
      <c r="I22" s="3"/>
      <c r="J22" s="5">
        <f>ROUND(J19*1%,0)</f>
        <v>8995</v>
      </c>
    </row>
    <row r="23" spans="1:17" ht="27.75" customHeight="1">
      <c r="A23" s="75"/>
      <c r="B23" s="76"/>
      <c r="C23" s="76"/>
      <c r="D23" s="71"/>
      <c r="E23" s="52" t="s">
        <v>24</v>
      </c>
      <c r="F23" s="53"/>
      <c r="G23" s="43"/>
      <c r="H23" s="3"/>
      <c r="I23" s="3"/>
      <c r="J23" s="5">
        <f>ROUND(J19*5%,0)</f>
        <v>44973</v>
      </c>
    </row>
    <row r="24" spans="1:17" ht="27.75" customHeight="1">
      <c r="A24" s="77"/>
      <c r="B24" s="78"/>
      <c r="C24" s="78"/>
      <c r="D24" s="72"/>
      <c r="E24" s="52" t="s">
        <v>26</v>
      </c>
      <c r="F24" s="53"/>
      <c r="G24" s="43"/>
      <c r="H24" s="3"/>
      <c r="I24" s="3"/>
      <c r="J24" s="5">
        <f>ROUND(1.8*37457, 0)</f>
        <v>67423</v>
      </c>
      <c r="O24" s="1">
        <v>37457</v>
      </c>
      <c r="P24" s="1">
        <f>20/25+1</f>
        <v>1.8</v>
      </c>
      <c r="Q24" s="1">
        <f>O24*P24</f>
        <v>67422.600000000006</v>
      </c>
    </row>
    <row r="25" spans="1:17" s="42" customFormat="1" ht="27.75" customHeight="1">
      <c r="A25" s="48" t="s">
        <v>9</v>
      </c>
      <c r="B25" s="49"/>
      <c r="C25" s="49"/>
      <c r="D25" s="49"/>
      <c r="E25" s="50"/>
      <c r="F25" s="51"/>
      <c r="G25" s="43"/>
      <c r="H25" s="40"/>
      <c r="I25" s="40"/>
      <c r="J25" s="41">
        <f>SUM(J20:J24)</f>
        <v>148375</v>
      </c>
    </row>
    <row r="26" spans="1:17" ht="27.75" customHeight="1">
      <c r="A26" s="45" t="s">
        <v>10</v>
      </c>
      <c r="B26" s="46"/>
      <c r="C26" s="46"/>
      <c r="D26" s="46"/>
      <c r="E26" s="46"/>
      <c r="F26" s="47"/>
      <c r="G26" s="12"/>
      <c r="H26" s="3"/>
      <c r="I26" s="3"/>
      <c r="J26" s="9">
        <f>ROUND(J19-J25,0)</f>
        <v>751080</v>
      </c>
    </row>
    <row r="27" spans="1:17" ht="15" customHeight="1"/>
    <row r="28" spans="1:17" ht="15" customHeight="1"/>
    <row r="29" spans="1:17" ht="15" customHeight="1"/>
    <row r="30" spans="1:17" ht="15" customHeight="1"/>
    <row r="32" spans="1:17" ht="14.25" customHeight="1">
      <c r="B32" s="6"/>
      <c r="C32" s="2"/>
      <c r="D32" s="2"/>
      <c r="E32" s="2"/>
      <c r="F32" s="2"/>
      <c r="G32" s="2"/>
      <c r="H32" s="2"/>
      <c r="I32" s="44" t="s">
        <v>20</v>
      </c>
      <c r="J32" s="44"/>
    </row>
    <row r="33" spans="2:14" ht="7.5" customHeight="1"/>
    <row r="35" spans="2:14" ht="15">
      <c r="B35" s="60" t="s">
        <v>62</v>
      </c>
      <c r="C35" s="60"/>
      <c r="D35" s="60"/>
      <c r="E35" s="60"/>
      <c r="F35" s="60"/>
      <c r="G35" s="2"/>
      <c r="H35" s="2"/>
      <c r="I35" s="2"/>
      <c r="J35" s="2"/>
    </row>
    <row r="36" spans="2:14" ht="15">
      <c r="B36" s="15" t="s">
        <v>28</v>
      </c>
      <c r="C36" s="15" t="s">
        <v>29</v>
      </c>
      <c r="D36" s="15" t="s">
        <v>17</v>
      </c>
      <c r="E36" s="15"/>
      <c r="F36" s="15" t="s">
        <v>30</v>
      </c>
      <c r="G36" s="2"/>
      <c r="H36" s="2"/>
      <c r="I36" s="2"/>
      <c r="J36" s="2"/>
    </row>
    <row r="37" spans="2:14" ht="15" customHeight="1">
      <c r="B37" s="3" t="s">
        <v>56</v>
      </c>
      <c r="C37" s="38">
        <v>1</v>
      </c>
      <c r="D37" s="14">
        <f>G8/27</f>
        <v>1541.962962962963</v>
      </c>
      <c r="E37" s="3"/>
      <c r="F37" s="16">
        <f>D37*C37</f>
        <v>1541.962962962963</v>
      </c>
      <c r="N37" s="1" t="s">
        <v>60</v>
      </c>
    </row>
    <row r="38" spans="2:14" ht="28.5" customHeight="1">
      <c r="B38" s="39" t="s">
        <v>71</v>
      </c>
      <c r="C38" s="38">
        <v>0</v>
      </c>
      <c r="D38" s="14">
        <f>G9/27</f>
        <v>1387.2962962962963</v>
      </c>
      <c r="E38" s="3"/>
      <c r="F38" s="16">
        <f t="shared" ref="F38:F41" si="2">D38*C38</f>
        <v>0</v>
      </c>
      <c r="M38" s="1" t="s">
        <v>61</v>
      </c>
      <c r="N38" s="1">
        <v>12</v>
      </c>
    </row>
    <row r="39" spans="2:14" ht="15" customHeight="1">
      <c r="B39" s="3" t="s">
        <v>27</v>
      </c>
      <c r="C39" s="38">
        <v>12</v>
      </c>
      <c r="D39" s="14">
        <f>G10/27</f>
        <v>1156.5925925925926</v>
      </c>
      <c r="E39" s="3"/>
      <c r="F39" s="16">
        <f t="shared" si="2"/>
        <v>13879.111111111111</v>
      </c>
    </row>
    <row r="40" spans="2:14" ht="15" customHeight="1">
      <c r="B40" s="3" t="s">
        <v>58</v>
      </c>
      <c r="C40" s="38">
        <v>2</v>
      </c>
      <c r="D40" s="14">
        <f>G12/27</f>
        <v>944.66666666666663</v>
      </c>
      <c r="E40" s="3"/>
      <c r="F40" s="16">
        <f t="shared" si="2"/>
        <v>1889.3333333333333</v>
      </c>
    </row>
    <row r="41" spans="2:14" ht="29.25" customHeight="1">
      <c r="B41" s="3" t="s">
        <v>59</v>
      </c>
      <c r="C41" s="38">
        <v>2</v>
      </c>
      <c r="D41" s="14">
        <f>G11/27</f>
        <v>944.66666666666663</v>
      </c>
      <c r="E41" s="3"/>
      <c r="F41" s="16">
        <f t="shared" si="2"/>
        <v>1889.3333333333333</v>
      </c>
    </row>
    <row r="42" spans="2:14">
      <c r="B42" s="62" t="s">
        <v>8</v>
      </c>
      <c r="C42" s="63"/>
      <c r="D42" s="64"/>
      <c r="E42" s="3"/>
      <c r="F42" s="16">
        <f>SUM(F37:F41)</f>
        <v>19199.740740740741</v>
      </c>
    </row>
    <row r="43" spans="2:14" ht="15" customHeight="1">
      <c r="B43" s="61" t="s">
        <v>31</v>
      </c>
      <c r="C43" s="61"/>
      <c r="D43" s="61"/>
      <c r="E43" s="17"/>
      <c r="F43" s="16">
        <f>ROUND(F42*2, 0)</f>
        <v>38399</v>
      </c>
    </row>
    <row r="54" spans="2:14" ht="15">
      <c r="B54" s="79" t="s">
        <v>62</v>
      </c>
      <c r="C54" s="80"/>
      <c r="D54" s="80"/>
      <c r="E54" s="80"/>
      <c r="F54" s="81"/>
      <c r="G54" s="2"/>
      <c r="H54" s="2"/>
      <c r="I54" s="2"/>
      <c r="J54" s="2"/>
    </row>
    <row r="55" spans="2:14" ht="15">
      <c r="B55" s="32" t="s">
        <v>28</v>
      </c>
      <c r="C55" s="32" t="s">
        <v>29</v>
      </c>
      <c r="D55" s="32" t="s">
        <v>17</v>
      </c>
      <c r="E55" s="32"/>
      <c r="F55" s="32" t="s">
        <v>30</v>
      </c>
      <c r="G55" s="2"/>
      <c r="H55" s="2"/>
      <c r="I55" s="2"/>
      <c r="J55" s="2"/>
    </row>
    <row r="56" spans="2:14" ht="15" customHeight="1">
      <c r="B56" s="3" t="s">
        <v>56</v>
      </c>
      <c r="C56" s="33">
        <v>1</v>
      </c>
      <c r="D56" s="14">
        <f>G8/27</f>
        <v>1541.962962962963</v>
      </c>
      <c r="E56" s="3"/>
      <c r="F56" s="16">
        <f>D56*C56</f>
        <v>1541.962962962963</v>
      </c>
      <c r="N56" s="1" t="s">
        <v>60</v>
      </c>
    </row>
    <row r="57" spans="2:14" ht="15" customHeight="1">
      <c r="B57" s="3" t="s">
        <v>57</v>
      </c>
      <c r="C57" s="33">
        <v>0</v>
      </c>
      <c r="D57" s="14">
        <f>G9/27</f>
        <v>1387.2962962962963</v>
      </c>
      <c r="E57" s="3"/>
      <c r="F57" s="16">
        <f t="shared" ref="F57:F60" si="3">D57*C57</f>
        <v>0</v>
      </c>
      <c r="M57" s="1" t="s">
        <v>61</v>
      </c>
      <c r="N57" s="1">
        <v>12</v>
      </c>
    </row>
    <row r="58" spans="2:14" ht="15" customHeight="1">
      <c r="B58" s="3" t="s">
        <v>27</v>
      </c>
      <c r="C58" s="33">
        <v>12</v>
      </c>
      <c r="D58" s="14">
        <f>G10/27</f>
        <v>1156.5925925925926</v>
      </c>
      <c r="E58" s="3"/>
      <c r="F58" s="16">
        <f t="shared" si="3"/>
        <v>13879.111111111111</v>
      </c>
    </row>
    <row r="59" spans="2:14" ht="15" customHeight="1">
      <c r="B59" s="3" t="s">
        <v>58</v>
      </c>
      <c r="C59" s="33">
        <v>2</v>
      </c>
      <c r="D59" s="14">
        <f>G12/27</f>
        <v>944.66666666666663</v>
      </c>
      <c r="E59" s="3"/>
      <c r="F59" s="16">
        <f t="shared" si="3"/>
        <v>1889.3333333333333</v>
      </c>
    </row>
    <row r="60" spans="2:14" ht="15" customHeight="1">
      <c r="B60" s="34" t="s">
        <v>59</v>
      </c>
      <c r="C60" s="33">
        <v>2</v>
      </c>
      <c r="D60" s="14">
        <f>G11/27</f>
        <v>944.66666666666663</v>
      </c>
      <c r="E60" s="3"/>
      <c r="F60" s="16">
        <f t="shared" si="3"/>
        <v>1889.3333333333333</v>
      </c>
    </row>
    <row r="61" spans="2:14" ht="15" hidden="1" customHeight="1">
      <c r="B61" s="62" t="s">
        <v>8</v>
      </c>
      <c r="C61" s="63"/>
      <c r="D61" s="64"/>
      <c r="E61" s="36"/>
      <c r="F61" s="16"/>
    </row>
    <row r="62" spans="2:14" ht="15" customHeight="1">
      <c r="B62" s="79" t="s">
        <v>64</v>
      </c>
      <c r="C62" s="80"/>
      <c r="D62" s="80"/>
      <c r="E62" s="80"/>
      <c r="F62" s="16" t="s">
        <v>54</v>
      </c>
    </row>
    <row r="63" spans="2:14" ht="15" customHeight="1">
      <c r="B63" s="3" t="s">
        <v>56</v>
      </c>
      <c r="C63" s="33">
        <v>0</v>
      </c>
      <c r="D63" s="14">
        <f>G8/26</f>
        <v>1601.2692307692307</v>
      </c>
      <c r="E63" s="3"/>
      <c r="F63" s="16">
        <f>D63*C63</f>
        <v>0</v>
      </c>
      <c r="N63" s="1" t="s">
        <v>60</v>
      </c>
    </row>
    <row r="64" spans="2:14" ht="15" customHeight="1">
      <c r="B64" s="3" t="s">
        <v>57</v>
      </c>
      <c r="C64" s="33">
        <v>4</v>
      </c>
      <c r="D64" s="14">
        <f>G9/25</f>
        <v>1498.28</v>
      </c>
      <c r="E64" s="3"/>
      <c r="F64" s="16">
        <f t="shared" ref="F64:F67" si="4">D64*C64</f>
        <v>5993.12</v>
      </c>
      <c r="M64" s="1" t="s">
        <v>61</v>
      </c>
      <c r="N64" s="1">
        <v>12</v>
      </c>
    </row>
    <row r="65" spans="2:6" ht="15" customHeight="1">
      <c r="B65" s="3" t="s">
        <v>27</v>
      </c>
      <c r="C65" s="33">
        <v>3</v>
      </c>
      <c r="D65" s="14">
        <f>G10/25</f>
        <v>1249.1199999999999</v>
      </c>
      <c r="E65" s="3"/>
      <c r="F65" s="16">
        <f t="shared" si="4"/>
        <v>3747.3599999999997</v>
      </c>
    </row>
    <row r="66" spans="2:6" ht="15" customHeight="1">
      <c r="B66" s="3" t="s">
        <v>58</v>
      </c>
      <c r="C66" s="33">
        <v>0</v>
      </c>
      <c r="D66" s="14">
        <f>G12/25</f>
        <v>1020.24</v>
      </c>
      <c r="E66" s="3"/>
      <c r="F66" s="16">
        <f t="shared" si="4"/>
        <v>0</v>
      </c>
    </row>
    <row r="67" spans="2:6" ht="15" customHeight="1">
      <c r="B67" s="34" t="s">
        <v>59</v>
      </c>
      <c r="C67" s="33">
        <v>0</v>
      </c>
      <c r="D67" s="14">
        <f>G11/25</f>
        <v>1020.24</v>
      </c>
      <c r="E67" s="3"/>
      <c r="F67" s="16">
        <f t="shared" si="4"/>
        <v>0</v>
      </c>
    </row>
    <row r="68" spans="2:6">
      <c r="B68" s="62" t="s">
        <v>8</v>
      </c>
      <c r="C68" s="63"/>
      <c r="D68" s="64"/>
      <c r="E68" s="3"/>
      <c r="F68" s="16">
        <f>SUM(F56:F67)</f>
        <v>28940.22074074074</v>
      </c>
    </row>
    <row r="69" spans="2:6" ht="15" customHeight="1">
      <c r="B69" s="61" t="s">
        <v>31</v>
      </c>
      <c r="C69" s="61"/>
      <c r="D69" s="61"/>
      <c r="E69" s="17"/>
      <c r="F69" s="16">
        <f>ROUND(F68*2, 0)</f>
        <v>57880</v>
      </c>
    </row>
  </sheetData>
  <mergeCells count="34">
    <mergeCell ref="B69:D69"/>
    <mergeCell ref="B62:E62"/>
    <mergeCell ref="B61:D61"/>
    <mergeCell ref="B54:F54"/>
    <mergeCell ref="B68:D68"/>
    <mergeCell ref="B35:F35"/>
    <mergeCell ref="B43:D43"/>
    <mergeCell ref="B42:D42"/>
    <mergeCell ref="A16:F16"/>
    <mergeCell ref="D8:D13"/>
    <mergeCell ref="A19:F19"/>
    <mergeCell ref="E20:F20"/>
    <mergeCell ref="E21:F21"/>
    <mergeCell ref="D20:D24"/>
    <mergeCell ref="A20:C24"/>
    <mergeCell ref="B11:C11"/>
    <mergeCell ref="B12:C12"/>
    <mergeCell ref="B13:C13"/>
    <mergeCell ref="A14:F14"/>
    <mergeCell ref="A17:F17"/>
    <mergeCell ref="A18:F18"/>
    <mergeCell ref="A15:F15"/>
    <mergeCell ref="A3:J5"/>
    <mergeCell ref="A1:J1"/>
    <mergeCell ref="B7:C7"/>
    <mergeCell ref="B9:C9"/>
    <mergeCell ref="B10:C10"/>
    <mergeCell ref="B8:C8"/>
    <mergeCell ref="I32:J32"/>
    <mergeCell ref="A26:F26"/>
    <mergeCell ref="A25:F25"/>
    <mergeCell ref="E22:F22"/>
    <mergeCell ref="E23:F23"/>
    <mergeCell ref="E24:F24"/>
  </mergeCells>
  <printOptions horizontalCentered="1"/>
  <pageMargins left="0.37" right="0.37" top="0.3" bottom="0.28000000000000003" header="0.2" footer="0.2"/>
  <pageSetup paperSize="9" scale="70" orientation="portrait" r:id="rId1"/>
  <rowBreaks count="1" manualBreakCount="1">
    <brk id="45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C28" sqref="C28"/>
    </sheetView>
  </sheetViews>
  <sheetFormatPr defaultRowHeight="15"/>
  <cols>
    <col min="2" max="2" width="16" bestFit="1" customWidth="1"/>
    <col min="3" max="3" width="10" bestFit="1" customWidth="1"/>
    <col min="4" max="4" width="11.5703125" bestFit="1" customWidth="1"/>
    <col min="5" max="5" width="12" bestFit="1" customWidth="1"/>
    <col min="6" max="6" width="11.5703125" bestFit="1" customWidth="1"/>
    <col min="7" max="7" width="13.42578125" bestFit="1" customWidth="1"/>
  </cols>
  <sheetData>
    <row r="1" spans="1:7">
      <c r="A1" s="82">
        <v>45870</v>
      </c>
      <c r="B1" s="83"/>
      <c r="C1" s="83"/>
      <c r="D1" s="83"/>
      <c r="E1" s="83"/>
      <c r="F1" s="83"/>
      <c r="G1" s="83"/>
    </row>
    <row r="2" spans="1:7">
      <c r="A2" s="19" t="s">
        <v>32</v>
      </c>
      <c r="B2" s="19" t="s">
        <v>33</v>
      </c>
      <c r="C2" s="28" t="s">
        <v>34</v>
      </c>
      <c r="D2" s="19" t="s">
        <v>35</v>
      </c>
      <c r="E2" s="20" t="s">
        <v>52</v>
      </c>
      <c r="F2" s="21" t="s">
        <v>53</v>
      </c>
      <c r="G2" s="20" t="s">
        <v>36</v>
      </c>
    </row>
    <row r="3" spans="1:7">
      <c r="A3" s="22">
        <v>1</v>
      </c>
      <c r="B3" s="23" t="s">
        <v>37</v>
      </c>
      <c r="C3" s="24">
        <v>26</v>
      </c>
      <c r="D3" s="25">
        <f>41633/26</f>
        <v>1601.2692307692307</v>
      </c>
      <c r="E3" s="29">
        <f>ROUND(D3*C3, 0)</f>
        <v>41633</v>
      </c>
      <c r="F3" s="30">
        <v>41633</v>
      </c>
      <c r="G3" s="29">
        <f>F3-E3</f>
        <v>0</v>
      </c>
    </row>
    <row r="4" spans="1:7">
      <c r="A4" s="22">
        <v>2</v>
      </c>
      <c r="B4" s="23" t="s">
        <v>38</v>
      </c>
      <c r="C4" s="24">
        <v>26</v>
      </c>
      <c r="D4" s="25">
        <f t="shared" ref="D4" si="0">41633/26</f>
        <v>1601.2692307692307</v>
      </c>
      <c r="E4" s="29">
        <f t="shared" ref="E4:E17" si="1">ROUND(D4*C4, 0)</f>
        <v>41633</v>
      </c>
      <c r="F4" s="30">
        <v>41633</v>
      </c>
      <c r="G4" s="29">
        <f t="shared" ref="G4:G17" si="2">F4-E4</f>
        <v>0</v>
      </c>
    </row>
    <row r="5" spans="1:7">
      <c r="A5" s="22">
        <v>3</v>
      </c>
      <c r="B5" s="23" t="s">
        <v>39</v>
      </c>
      <c r="C5" s="24">
        <v>26</v>
      </c>
      <c r="D5" s="25">
        <f>37457/26</f>
        <v>1440.6538461538462</v>
      </c>
      <c r="E5" s="29">
        <f t="shared" si="1"/>
        <v>37457</v>
      </c>
      <c r="F5" s="30">
        <v>0</v>
      </c>
      <c r="G5" s="31">
        <f t="shared" si="2"/>
        <v>-37457</v>
      </c>
    </row>
    <row r="6" spans="1:7">
      <c r="A6" s="22">
        <v>4</v>
      </c>
      <c r="B6" s="23" t="s">
        <v>40</v>
      </c>
      <c r="C6" s="24">
        <v>26</v>
      </c>
      <c r="D6" s="25">
        <f>37457/26</f>
        <v>1440.6538461538462</v>
      </c>
      <c r="E6" s="29">
        <f t="shared" si="1"/>
        <v>37457</v>
      </c>
      <c r="F6" s="30">
        <v>37457</v>
      </c>
      <c r="G6" s="29">
        <f t="shared" si="2"/>
        <v>0</v>
      </c>
    </row>
    <row r="7" spans="1:7">
      <c r="A7" s="22">
        <v>5</v>
      </c>
      <c r="B7" s="23" t="s">
        <v>41</v>
      </c>
      <c r="C7" s="24">
        <v>26</v>
      </c>
      <c r="D7" s="25">
        <f>31228/26</f>
        <v>1201.0769230769231</v>
      </c>
      <c r="E7" s="29">
        <f t="shared" si="1"/>
        <v>31228</v>
      </c>
      <c r="F7" s="30">
        <v>31228</v>
      </c>
      <c r="G7" s="29">
        <f t="shared" si="2"/>
        <v>0</v>
      </c>
    </row>
    <row r="8" spans="1:7">
      <c r="A8" s="22">
        <v>6</v>
      </c>
      <c r="B8" s="23" t="s">
        <v>42</v>
      </c>
      <c r="C8" s="24">
        <v>24</v>
      </c>
      <c r="D8" s="25">
        <f t="shared" ref="D8:D12" si="3">31228/26</f>
        <v>1201.0769230769231</v>
      </c>
      <c r="E8" s="29">
        <f t="shared" si="1"/>
        <v>28826</v>
      </c>
      <c r="F8" s="30">
        <v>28825</v>
      </c>
      <c r="G8" s="29">
        <f t="shared" si="2"/>
        <v>-1</v>
      </c>
    </row>
    <row r="9" spans="1:7">
      <c r="A9" s="22">
        <v>7</v>
      </c>
      <c r="B9" s="23" t="s">
        <v>43</v>
      </c>
      <c r="C9" s="24">
        <v>22</v>
      </c>
      <c r="D9" s="25">
        <f t="shared" si="3"/>
        <v>1201.0769230769231</v>
      </c>
      <c r="E9" s="29">
        <f t="shared" si="1"/>
        <v>26424</v>
      </c>
      <c r="F9" s="30">
        <v>19217</v>
      </c>
      <c r="G9" s="31">
        <f t="shared" si="2"/>
        <v>-7207</v>
      </c>
    </row>
    <row r="10" spans="1:7">
      <c r="A10" s="22">
        <v>8</v>
      </c>
      <c r="B10" s="23" t="s">
        <v>44</v>
      </c>
      <c r="C10" s="24">
        <v>25</v>
      </c>
      <c r="D10" s="25">
        <f t="shared" si="3"/>
        <v>1201.0769230769231</v>
      </c>
      <c r="E10" s="29">
        <f t="shared" si="1"/>
        <v>30027</v>
      </c>
      <c r="F10" s="30">
        <v>30027</v>
      </c>
      <c r="G10" s="29">
        <f t="shared" si="2"/>
        <v>0</v>
      </c>
    </row>
    <row r="11" spans="1:7">
      <c r="A11" s="22">
        <v>9</v>
      </c>
      <c r="B11" s="23" t="s">
        <v>45</v>
      </c>
      <c r="C11" s="24">
        <v>24</v>
      </c>
      <c r="D11" s="25">
        <f t="shared" si="3"/>
        <v>1201.0769230769231</v>
      </c>
      <c r="E11" s="29">
        <f t="shared" si="1"/>
        <v>28826</v>
      </c>
      <c r="F11" s="30">
        <f>21619+7206</f>
        <v>28825</v>
      </c>
      <c r="G11" s="29">
        <f t="shared" si="2"/>
        <v>-1</v>
      </c>
    </row>
    <row r="12" spans="1:7">
      <c r="A12" s="22">
        <v>10</v>
      </c>
      <c r="B12" s="23" t="s">
        <v>46</v>
      </c>
      <c r="C12" s="24">
        <v>22</v>
      </c>
      <c r="D12" s="25">
        <f t="shared" si="3"/>
        <v>1201.0769230769231</v>
      </c>
      <c r="E12" s="29">
        <f t="shared" si="1"/>
        <v>26424</v>
      </c>
      <c r="F12" s="30">
        <v>40025</v>
      </c>
      <c r="G12" s="29">
        <f t="shared" si="2"/>
        <v>13601</v>
      </c>
    </row>
    <row r="13" spans="1:7">
      <c r="A13" s="22">
        <v>11</v>
      </c>
      <c r="B13" s="23" t="s">
        <v>47</v>
      </c>
      <c r="C13" s="24">
        <v>26</v>
      </c>
      <c r="D13" s="26">
        <v>981</v>
      </c>
      <c r="E13" s="29">
        <f t="shared" si="1"/>
        <v>25506</v>
      </c>
      <c r="F13" s="30">
        <v>30006</v>
      </c>
      <c r="G13" s="29">
        <f t="shared" si="2"/>
        <v>4500</v>
      </c>
    </row>
    <row r="14" spans="1:7">
      <c r="A14" s="22">
        <v>12</v>
      </c>
      <c r="B14" s="23" t="s">
        <v>48</v>
      </c>
      <c r="C14" s="24">
        <v>26</v>
      </c>
      <c r="D14" s="26">
        <v>981</v>
      </c>
      <c r="E14" s="29">
        <f t="shared" si="1"/>
        <v>25506</v>
      </c>
      <c r="F14" s="30">
        <v>25506</v>
      </c>
      <c r="G14" s="29">
        <f t="shared" si="2"/>
        <v>0</v>
      </c>
    </row>
    <row r="15" spans="1:7">
      <c r="A15" s="22">
        <v>13</v>
      </c>
      <c r="B15" s="23" t="s">
        <v>49</v>
      </c>
      <c r="C15" s="24">
        <v>26</v>
      </c>
      <c r="D15" s="26">
        <v>981</v>
      </c>
      <c r="E15" s="29">
        <f t="shared" si="1"/>
        <v>25506</v>
      </c>
      <c r="F15" s="30">
        <v>25506</v>
      </c>
      <c r="G15" s="29">
        <f t="shared" si="2"/>
        <v>0</v>
      </c>
    </row>
    <row r="16" spans="1:7">
      <c r="A16" s="22">
        <v>14</v>
      </c>
      <c r="B16" s="23" t="s">
        <v>50</v>
      </c>
      <c r="C16" s="24">
        <v>2</v>
      </c>
      <c r="D16" s="25">
        <f t="shared" ref="D16:D17" si="4">31228/26</f>
        <v>1201.0769230769231</v>
      </c>
      <c r="E16" s="29">
        <f t="shared" si="1"/>
        <v>2402</v>
      </c>
      <c r="F16" s="30">
        <v>62456</v>
      </c>
      <c r="G16" s="29">
        <f t="shared" si="2"/>
        <v>60054</v>
      </c>
    </row>
    <row r="17" spans="1:7">
      <c r="A17" s="22">
        <v>15</v>
      </c>
      <c r="B17" s="23" t="s">
        <v>51</v>
      </c>
      <c r="C17" s="24">
        <v>5</v>
      </c>
      <c r="D17" s="25">
        <f t="shared" si="4"/>
        <v>1201.0769230769231</v>
      </c>
      <c r="E17" s="29">
        <f t="shared" si="1"/>
        <v>6005</v>
      </c>
      <c r="F17" s="30">
        <v>6005</v>
      </c>
      <c r="G17" s="29">
        <f t="shared" si="2"/>
        <v>0</v>
      </c>
    </row>
    <row r="18" spans="1:7">
      <c r="E18" s="27"/>
      <c r="F18" s="27"/>
      <c r="G18" s="27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3rd RA</vt:lpstr>
      <vt:lpstr>wages 8 25</vt:lpstr>
      <vt:lpstr>'3rd RA'!Print_Area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2026-02-18T07:08:45Z</dcterms:modified>
</cp:coreProperties>
</file>